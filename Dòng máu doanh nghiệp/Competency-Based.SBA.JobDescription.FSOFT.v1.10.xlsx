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FSoft\HR\BA\"/>
    </mc:Choice>
  </mc:AlternateContent>
  <bookViews>
    <workbookView xWindow="0" yWindow="0" windowWidth="19200" windowHeight="7308" tabRatio="860" activeTab="6"/>
  </bookViews>
  <sheets>
    <sheet name="Cover" sheetId="37" r:id="rId1"/>
    <sheet name="Table of Content" sheetId="40" r:id="rId2"/>
    <sheet name="01. Guidelines" sheetId="30" r:id="rId3"/>
    <sheet name="02. Models" sheetId="35" r:id="rId4"/>
    <sheet name="03. Career Paths" sheetId="32" r:id="rId5"/>
    <sheet name="04. Job Descriptions" sheetId="6" r:id="rId6"/>
    <sheet name="05. Job Rankings" sheetId="7" r:id="rId7"/>
    <sheet name="06. Assessment Summary" sheetId="28" r:id="rId8"/>
    <sheet name="07. Roles &amp; Responsibilities" sheetId="36" r:id="rId9"/>
    <sheet name="08. Definitions" sheetId="5" r:id="rId10"/>
    <sheet name="09. Career Development" sheetId="39" state="hidden" r:id="rId11"/>
    <sheet name="10. Job Interview" sheetId="38" state="hidden" r:id="rId12"/>
    <sheet name="09. Record of Change" sheetId="31" r:id="rId13"/>
    <sheet name="Explanation of Skills" sheetId="33" state="hidden" r:id="rId14"/>
  </sheets>
  <definedNames>
    <definedName name="__PA3" hidden="1">{"'Sheet1'!$L$16"}</definedName>
    <definedName name="__SU15" hidden="1">{"'Sheet1'!$L$16"}</definedName>
    <definedName name="_1a1_" hidden="1">{"'Sheet1'!$L$16"}</definedName>
    <definedName name="_a1" hidden="1">{"'Sheet1'!$L$16"}</definedName>
    <definedName name="_Fill" localSheetId="11" hidden="1">#REF!</definedName>
    <definedName name="_Fill" hidden="1">#REF!</definedName>
    <definedName name="_xlnm._FilterDatabase" localSheetId="6" hidden="1">'05. Job Rankings'!$B$5:$N$26</definedName>
    <definedName name="_xlnm._FilterDatabase" localSheetId="7" hidden="1">'06. Assessment Summary'!#REF!</definedName>
    <definedName name="_xlnm._FilterDatabase" localSheetId="11" hidden="1">'10. Job Interview'!$B$5:$K$20</definedName>
    <definedName name="_Key1" localSheetId="11" hidden="1">#REF!</definedName>
    <definedName name="_Key1" hidden="1">#REF!</definedName>
    <definedName name="_Key2" localSheetId="11" hidden="1">#REF!</definedName>
    <definedName name="_Key2" hidden="1">#REF!</definedName>
    <definedName name="_Order1" hidden="1">255</definedName>
    <definedName name="_Order2" hidden="1">255</definedName>
    <definedName name="_PA3" hidden="1">{"'Sheet1'!$L$16"}</definedName>
    <definedName name="_Sort" localSheetId="11" hidden="1">#REF!</definedName>
    <definedName name="_Sort" hidden="1">#REF!</definedName>
    <definedName name="_SU15" hidden="1">{"'Sheet1'!$L$16"}</definedName>
    <definedName name="AAA" hidden="1">{"'Sheet1'!$L$16"}</definedName>
    <definedName name="AAAA" hidden="1">{"'Sheet1'!$L$16"}</definedName>
    <definedName name="AF" localSheetId="11" hidden="1">#REF!</definedName>
    <definedName name="AF" hidden="1">#REF!</definedName>
    <definedName name="AS2DocOpenMode" hidden="1">"AS2DocumentEdit"</definedName>
    <definedName name="CTCT1" hidden="1">{"'Sheet1'!$L$16"}</definedName>
    <definedName name="ff" localSheetId="11" hidden="1">#REF!</definedName>
    <definedName name="ff" hidden="1">#REF!</definedName>
    <definedName name="fills" localSheetId="11" hidden="1">#REF!</definedName>
    <definedName name="fills" hidden="1">#REF!</definedName>
    <definedName name="h" hidden="1">{"'Sheet1'!$L$16"}</definedName>
    <definedName name="hkhl"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nvoice" localSheetId="11" hidden="1">#REF!</definedName>
    <definedName name="Invoice" hidden="1">#REF!</definedName>
    <definedName name="M" localSheetId="11" hidden="1">#REF!</definedName>
    <definedName name="M" hidden="1">#REF!</definedName>
    <definedName name="_xlnm.Print_Area" localSheetId="6">'05. Job Rankings'!$B$2:$O$35</definedName>
    <definedName name="_xlnm.Print_Area" localSheetId="7">'06. Assessment Summary'!$A$1:$X$31</definedName>
    <definedName name="_xlnm.Print_Area" localSheetId="11">'10. Job Interview'!$B$2:$L$29</definedName>
    <definedName name="Rikei" localSheetId="11" hidden="1">#REF!</definedName>
    <definedName name="Rikei" hidden="1">#REF!</definedName>
    <definedName name="rr" localSheetId="11" hidden="1">#REF!</definedName>
    <definedName name="rr" hidden="1">#REF!</definedName>
    <definedName name="wrn.chi._.tiÆt." hidden="1">{#N/A,#N/A,FALSE,"Chi tiÆt"}</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7" l="1"/>
  <c r="K31" i="7" l="1"/>
  <c r="K11" i="7"/>
  <c r="Q27" i="28" l="1"/>
  <c r="Q34" i="28"/>
  <c r="Q33" i="28"/>
  <c r="Q32" i="28"/>
  <c r="D7" i="7"/>
  <c r="G7" i="7" s="1"/>
  <c r="L35" i="7"/>
  <c r="L34" i="7"/>
  <c r="L33" i="7"/>
  <c r="L32" i="7"/>
  <c r="L31" i="7"/>
  <c r="L29" i="7"/>
  <c r="L28" i="7"/>
  <c r="L27" i="7"/>
  <c r="L24" i="7"/>
  <c r="L23" i="7"/>
  <c r="L22" i="7"/>
  <c r="L21" i="7"/>
  <c r="L20" i="7"/>
  <c r="L18" i="7"/>
  <c r="L14" i="7"/>
  <c r="L13" i="7"/>
  <c r="L12" i="7"/>
  <c r="L11" i="7"/>
  <c r="L10" i="7"/>
  <c r="L9" i="7"/>
  <c r="O6" i="28" l="1"/>
  <c r="R5" i="28" l="1"/>
  <c r="W29" i="32" l="1"/>
  <c r="W28" i="32"/>
  <c r="W27" i="32"/>
  <c r="W26" i="32"/>
  <c r="C10" i="38"/>
  <c r="D26" i="38" l="1"/>
  <c r="D27" i="38"/>
  <c r="D28" i="38"/>
  <c r="D29" i="38"/>
  <c r="D25" i="38"/>
  <c r="D24" i="38"/>
  <c r="D21" i="38"/>
  <c r="D22" i="38"/>
  <c r="D23" i="38"/>
  <c r="D20" i="38"/>
  <c r="D19" i="38"/>
  <c r="D12" i="38"/>
  <c r="D13" i="38"/>
  <c r="D14" i="38"/>
  <c r="D15" i="38"/>
  <c r="D18" i="38"/>
  <c r="D11" i="38"/>
  <c r="D10" i="38"/>
  <c r="D7" i="38"/>
  <c r="D8" i="38"/>
  <c r="D6" i="38"/>
  <c r="D5" i="38"/>
  <c r="C29" i="38"/>
  <c r="C28" i="38"/>
  <c r="C27" i="38"/>
  <c r="C26" i="38"/>
  <c r="C25" i="38"/>
  <c r="C23" i="38"/>
  <c r="C22" i="38"/>
  <c r="C21" i="38"/>
  <c r="C20" i="38"/>
  <c r="C18" i="38"/>
  <c r="C17" i="38"/>
  <c r="C16" i="38"/>
  <c r="C15" i="38"/>
  <c r="C14" i="38"/>
  <c r="C13" i="38"/>
  <c r="C12" i="38"/>
  <c r="C11" i="38"/>
  <c r="C8" i="38"/>
  <c r="C7" i="38"/>
  <c r="C6" i="38"/>
  <c r="D16" i="38"/>
  <c r="D17" i="38"/>
  <c r="D9" i="38" l="1"/>
  <c r="D4" i="38" s="1"/>
  <c r="B13" i="6"/>
  <c r="E4" i="6"/>
  <c r="F4" i="6"/>
  <c r="N3" i="6" s="1"/>
  <c r="F5" i="28" s="1"/>
  <c r="G4" i="6"/>
  <c r="O3" i="6" s="1"/>
  <c r="H4" i="6"/>
  <c r="P3" i="6" s="1"/>
  <c r="C15" i="7"/>
  <c r="C8" i="7"/>
  <c r="C5" i="7"/>
  <c r="C9" i="7"/>
  <c r="Z29" i="28"/>
  <c r="C7" i="6"/>
  <c r="K7" i="6"/>
  <c r="C6" i="6"/>
  <c r="D6" i="7" s="1"/>
  <c r="K6" i="6"/>
  <c r="M6" i="6" s="1"/>
  <c r="K9" i="6"/>
  <c r="G6" i="38" s="1"/>
  <c r="C9" i="6"/>
  <c r="O9" i="6" s="1"/>
  <c r="G9" i="28" s="1"/>
  <c r="K13" i="6"/>
  <c r="G8" i="38" s="1"/>
  <c r="C13" i="6"/>
  <c r="C10" i="6"/>
  <c r="K10" i="6"/>
  <c r="R10" i="6"/>
  <c r="J8" i="28" s="1"/>
  <c r="C11" i="6"/>
  <c r="R11" i="6" s="1"/>
  <c r="J11" i="28" s="1"/>
  <c r="K11" i="6"/>
  <c r="G7" i="38" s="1"/>
  <c r="C12" i="6"/>
  <c r="O12" i="6" s="1"/>
  <c r="K12" i="6"/>
  <c r="C14" i="6"/>
  <c r="K14" i="6"/>
  <c r="K29" i="6"/>
  <c r="G23" i="38" s="1"/>
  <c r="C29" i="6"/>
  <c r="D29" i="7" s="1"/>
  <c r="G29" i="7" s="1"/>
  <c r="K19" i="28" s="1"/>
  <c r="C26" i="6"/>
  <c r="K26" i="6"/>
  <c r="Q26" i="6" s="1"/>
  <c r="L26" i="7" s="1"/>
  <c r="C27" i="6"/>
  <c r="R27" i="6" s="1"/>
  <c r="K27" i="6"/>
  <c r="G21" i="38" s="1"/>
  <c r="C28" i="6"/>
  <c r="K28" i="6"/>
  <c r="K31" i="6"/>
  <c r="G25" i="38" s="1"/>
  <c r="C31" i="6"/>
  <c r="R31" i="6" s="1"/>
  <c r="K33" i="6"/>
  <c r="G27" i="38" s="1"/>
  <c r="C33" i="6"/>
  <c r="K32" i="6"/>
  <c r="G26" i="38" s="1"/>
  <c r="C32" i="6"/>
  <c r="K34" i="6"/>
  <c r="G28" i="38" s="1"/>
  <c r="C34" i="6"/>
  <c r="K35" i="6"/>
  <c r="G29" i="38" s="1"/>
  <c r="C35" i="6"/>
  <c r="O35" i="6" s="1"/>
  <c r="C16" i="6"/>
  <c r="R16" i="6" s="1"/>
  <c r="K16" i="6"/>
  <c r="G10" i="38" s="1"/>
  <c r="C17" i="6"/>
  <c r="R17" i="6" s="1"/>
  <c r="K17" i="6"/>
  <c r="G11" i="38" s="1"/>
  <c r="C18" i="6"/>
  <c r="D18" i="7" s="1"/>
  <c r="K18" i="6"/>
  <c r="G12" i="38" s="1"/>
  <c r="C19" i="6"/>
  <c r="K19" i="6"/>
  <c r="G13" i="38" s="1"/>
  <c r="C20" i="6"/>
  <c r="K20" i="6"/>
  <c r="G14" i="38" s="1"/>
  <c r="C21" i="6"/>
  <c r="K21" i="6"/>
  <c r="C22" i="6"/>
  <c r="K22" i="6"/>
  <c r="G16" i="38" s="1"/>
  <c r="C23" i="6"/>
  <c r="D16" i="28" s="1"/>
  <c r="K23" i="6"/>
  <c r="G17" i="38" s="1"/>
  <c r="C24" i="6"/>
  <c r="R24" i="6" s="1"/>
  <c r="K24" i="6"/>
  <c r="N24" i="6" s="1"/>
  <c r="O28" i="6"/>
  <c r="O17" i="6"/>
  <c r="O11" i="6"/>
  <c r="G11" i="28" s="1"/>
  <c r="O10" i="6"/>
  <c r="G8" i="28" s="1"/>
  <c r="Q9" i="6"/>
  <c r="I9" i="28" s="1"/>
  <c r="C7" i="7"/>
  <c r="B7" i="6"/>
  <c r="B7" i="7" s="1"/>
  <c r="D15" i="35"/>
  <c r="X19" i="32" s="1"/>
  <c r="M29" i="5"/>
  <c r="C10" i="5"/>
  <c r="G3" i="6"/>
  <c r="O2" i="6" s="1"/>
  <c r="I4" i="6"/>
  <c r="Q3" i="6" s="1"/>
  <c r="I5" i="28" s="1"/>
  <c r="J4" i="6"/>
  <c r="B9" i="6"/>
  <c r="B6" i="38" s="1"/>
  <c r="Q31" i="28"/>
  <c r="B9" i="7"/>
  <c r="B5" i="6"/>
  <c r="B5" i="7" s="1"/>
  <c r="B6" i="6"/>
  <c r="C7" i="28" s="1"/>
  <c r="B8" i="6"/>
  <c r="B5" i="38" s="1"/>
  <c r="B8" i="7"/>
  <c r="P17" i="6"/>
  <c r="B15" i="6"/>
  <c r="B9" i="38" s="1"/>
  <c r="B16" i="6"/>
  <c r="B17" i="6"/>
  <c r="B11" i="38" s="1"/>
  <c r="B18" i="6"/>
  <c r="B12" i="38" s="1"/>
  <c r="B12" i="6"/>
  <c r="B12" i="7"/>
  <c r="B14" i="6"/>
  <c r="B14" i="7" s="1"/>
  <c r="B11" i="6"/>
  <c r="C11" i="28" s="1"/>
  <c r="B10" i="6"/>
  <c r="B10" i="7" s="1"/>
  <c r="B19" i="6"/>
  <c r="B13" i="38" s="1"/>
  <c r="J3" i="6"/>
  <c r="R2" i="6" s="1"/>
  <c r="Q10" i="6"/>
  <c r="Q17" i="6"/>
  <c r="L17" i="7" s="1"/>
  <c r="C30" i="7"/>
  <c r="C25" i="7"/>
  <c r="D10" i="7"/>
  <c r="G10" i="7" s="1"/>
  <c r="K8" i="28" s="1"/>
  <c r="D28" i="7"/>
  <c r="G28" i="7" s="1"/>
  <c r="D17" i="7"/>
  <c r="G17" i="7" s="1"/>
  <c r="D20" i="7"/>
  <c r="D21" i="7"/>
  <c r="D22" i="7"/>
  <c r="D24" i="7"/>
  <c r="G24" i="7" s="1"/>
  <c r="D33" i="7"/>
  <c r="X20" i="32"/>
  <c r="D5" i="35"/>
  <c r="X17" i="32" s="1"/>
  <c r="W21" i="32"/>
  <c r="W20" i="32"/>
  <c r="W19" i="32"/>
  <c r="W18" i="32"/>
  <c r="W17" i="32"/>
  <c r="H3" i="6"/>
  <c r="H4" i="28" s="1"/>
  <c r="E3" i="6"/>
  <c r="E4" i="28" s="1"/>
  <c r="M2" i="6"/>
  <c r="F3" i="6"/>
  <c r="N2" i="6" s="1"/>
  <c r="U5" i="28"/>
  <c r="T5" i="28"/>
  <c r="A3" i="36"/>
  <c r="I3" i="6"/>
  <c r="I4" i="28" s="1"/>
  <c r="E30" i="35"/>
  <c r="X29" i="32" s="1"/>
  <c r="E25" i="35"/>
  <c r="X28" i="32" s="1"/>
  <c r="E15" i="35"/>
  <c r="X27" i="32" s="1"/>
  <c r="X25" i="32" s="1"/>
  <c r="E8" i="35"/>
  <c r="X26" i="32" s="1"/>
  <c r="E5" i="35"/>
  <c r="B33" i="6"/>
  <c r="B27" i="38" s="1"/>
  <c r="B32" i="6"/>
  <c r="B26" i="38" s="1"/>
  <c r="B34" i="6"/>
  <c r="B28" i="38" s="1"/>
  <c r="B35" i="6"/>
  <c r="B29" i="38" s="1"/>
  <c r="B31" i="6"/>
  <c r="B30" i="6"/>
  <c r="B30" i="7" s="1"/>
  <c r="B27" i="6"/>
  <c r="B21" i="38" s="1"/>
  <c r="B28" i="6"/>
  <c r="B22" i="38" s="1"/>
  <c r="B29" i="6"/>
  <c r="B23" i="38" s="1"/>
  <c r="B26" i="6"/>
  <c r="B20" i="38" s="1"/>
  <c r="B25" i="6"/>
  <c r="B20" i="6"/>
  <c r="B14" i="38" s="1"/>
  <c r="B21" i="6"/>
  <c r="B22" i="6"/>
  <c r="B23" i="6"/>
  <c r="B17" i="38" s="1"/>
  <c r="B24" i="6"/>
  <c r="B18" i="38" s="1"/>
  <c r="D30" i="35"/>
  <c r="X21" i="32" s="1"/>
  <c r="D25" i="35"/>
  <c r="D8" i="35"/>
  <c r="C18" i="7"/>
  <c r="N28" i="6"/>
  <c r="N9" i="6"/>
  <c r="F9" i="28" s="1"/>
  <c r="N10" i="6"/>
  <c r="F8" i="28" s="1"/>
  <c r="N17" i="6"/>
  <c r="D8" i="28"/>
  <c r="D9" i="28"/>
  <c r="C9" i="28"/>
  <c r="M9" i="6"/>
  <c r="E9" i="28" s="1"/>
  <c r="M10" i="6"/>
  <c r="E8" i="28" s="1"/>
  <c r="M17" i="6"/>
  <c r="M34" i="6"/>
  <c r="C6" i="7"/>
  <c r="C10" i="7"/>
  <c r="C11" i="7"/>
  <c r="C12" i="7"/>
  <c r="C13" i="7"/>
  <c r="C14" i="7"/>
  <c r="C16" i="7"/>
  <c r="C17" i="7"/>
  <c r="C19" i="7"/>
  <c r="C20" i="7"/>
  <c r="C21" i="7"/>
  <c r="C22" i="7"/>
  <c r="C23" i="7"/>
  <c r="C24" i="7"/>
  <c r="C26" i="7"/>
  <c r="C27" i="7"/>
  <c r="C28" i="7"/>
  <c r="C29" i="7"/>
  <c r="C31" i="7"/>
  <c r="C33" i="7"/>
  <c r="C32" i="7"/>
  <c r="B34" i="7"/>
  <c r="C34" i="7"/>
  <c r="C35" i="7"/>
  <c r="D3" i="28"/>
  <c r="G4" i="28"/>
  <c r="Q5" i="28"/>
  <c r="M24" i="5"/>
  <c r="M122" i="5"/>
  <c r="M111" i="5"/>
  <c r="M99" i="5"/>
  <c r="M88" i="5"/>
  <c r="M79" i="5"/>
  <c r="M70" i="5"/>
  <c r="M59" i="5"/>
  <c r="M49" i="5"/>
  <c r="M41" i="5"/>
  <c r="M33" i="5"/>
  <c r="M17" i="5"/>
  <c r="M123" i="5"/>
  <c r="M121" i="5"/>
  <c r="M120" i="5"/>
  <c r="M119" i="5"/>
  <c r="M118" i="5"/>
  <c r="M117" i="5"/>
  <c r="M116" i="5"/>
  <c r="M115" i="5"/>
  <c r="M112" i="5"/>
  <c r="M110" i="5"/>
  <c r="M109" i="5"/>
  <c r="M108" i="5"/>
  <c r="M107" i="5"/>
  <c r="M106" i="5"/>
  <c r="M105" i="5"/>
  <c r="M104" i="5"/>
  <c r="M103" i="5"/>
  <c r="M97" i="5"/>
  <c r="M94" i="5"/>
  <c r="M92" i="5"/>
  <c r="M80" i="5"/>
  <c r="M78" i="5"/>
  <c r="N35" i="5"/>
  <c r="M83" i="5"/>
  <c r="M84" i="5"/>
  <c r="M85" i="5"/>
  <c r="M86" i="5"/>
  <c r="M98" i="5"/>
  <c r="M100" i="5"/>
  <c r="M96" i="5"/>
  <c r="M95" i="5"/>
  <c r="M93" i="5"/>
  <c r="M91" i="5"/>
  <c r="M65" i="5"/>
  <c r="M3" i="5"/>
  <c r="M4" i="5"/>
  <c r="M5" i="5"/>
  <c r="M6" i="5"/>
  <c r="M2" i="5"/>
  <c r="M87" i="5"/>
  <c r="M75" i="5"/>
  <c r="M76" i="5"/>
  <c r="M77" i="5"/>
  <c r="M74" i="5"/>
  <c r="M64" i="5"/>
  <c r="M66" i="5"/>
  <c r="M67" i="5"/>
  <c r="M68" i="5"/>
  <c r="M69" i="5"/>
  <c r="M71" i="5"/>
  <c r="M63" i="5"/>
  <c r="M54" i="5"/>
  <c r="M55" i="5"/>
  <c r="M56" i="5"/>
  <c r="M57" i="5"/>
  <c r="M58" i="5"/>
  <c r="M60" i="5"/>
  <c r="M53" i="5"/>
  <c r="M46" i="5"/>
  <c r="M47" i="5"/>
  <c r="M48" i="5"/>
  <c r="M50" i="5"/>
  <c r="M45" i="5"/>
  <c r="M38" i="5"/>
  <c r="M39" i="5"/>
  <c r="M40" i="5"/>
  <c r="M42" i="5"/>
  <c r="M37" i="5"/>
  <c r="M10" i="5"/>
  <c r="M11" i="5"/>
  <c r="M12" i="5"/>
  <c r="M13" i="5"/>
  <c r="M14" i="5"/>
  <c r="M15" i="5"/>
  <c r="M16" i="5"/>
  <c r="M18" i="5"/>
  <c r="M9" i="5"/>
  <c r="M22" i="5"/>
  <c r="M23" i="5"/>
  <c r="M25" i="5"/>
  <c r="M21" i="5"/>
  <c r="M30" i="5"/>
  <c r="M31" i="5"/>
  <c r="M32" i="5"/>
  <c r="M34" i="5"/>
  <c r="M28" i="5"/>
  <c r="N26" i="6" l="1"/>
  <c r="F13" i="28" s="1"/>
  <c r="O16" i="6"/>
  <c r="C10" i="28"/>
  <c r="B23" i="7"/>
  <c r="M26" i="6"/>
  <c r="E13" i="28" s="1"/>
  <c r="N11" i="6"/>
  <c r="F11" i="28" s="1"/>
  <c r="D16" i="7"/>
  <c r="G16" i="7" s="1"/>
  <c r="Q24" i="6"/>
  <c r="P26" i="6"/>
  <c r="H13" i="28" s="1"/>
  <c r="D9" i="7"/>
  <c r="G9" i="7" s="1"/>
  <c r="K9" i="28" s="1"/>
  <c r="G18" i="7"/>
  <c r="P10" i="6"/>
  <c r="H8" i="28" s="1"/>
  <c r="M29" i="6"/>
  <c r="E19" i="28" s="1"/>
  <c r="P29" i="6"/>
  <c r="H19" i="28" s="1"/>
  <c r="B29" i="7"/>
  <c r="D19" i="28"/>
  <c r="D26" i="7"/>
  <c r="G26" i="7" s="1"/>
  <c r="K13" i="28" s="1"/>
  <c r="B19" i="7"/>
  <c r="P9" i="6"/>
  <c r="O33" i="6"/>
  <c r="Q13" i="6"/>
  <c r="I18" i="28" s="1"/>
  <c r="N16" i="6"/>
  <c r="M16" i="6"/>
  <c r="D13" i="28"/>
  <c r="Y32" i="28"/>
  <c r="G33" i="7"/>
  <c r="D12" i="7"/>
  <c r="G12" i="7" s="1"/>
  <c r="Q16" i="6"/>
  <c r="L16" i="7" s="1"/>
  <c r="B17" i="7"/>
  <c r="B6" i="7"/>
  <c r="R32" i="6"/>
  <c r="N12" i="6"/>
  <c r="D11" i="7"/>
  <c r="G11" i="7" s="1"/>
  <c r="K11" i="28" s="1"/>
  <c r="L11" i="28" s="1"/>
  <c r="M11" i="6"/>
  <c r="E11" i="28" s="1"/>
  <c r="D11" i="28"/>
  <c r="Q11" i="6"/>
  <c r="I11" i="28" s="1"/>
  <c r="Y31" i="28"/>
  <c r="B32" i="7"/>
  <c r="B27" i="7"/>
  <c r="N29" i="6"/>
  <c r="F19" i="28" s="1"/>
  <c r="Q33" i="6"/>
  <c r="O29" i="6"/>
  <c r="G19" i="28" s="1"/>
  <c r="Q28" i="6"/>
  <c r="D4" i="35"/>
  <c r="N21" i="6"/>
  <c r="D35" i="7"/>
  <c r="G35" i="7" s="1"/>
  <c r="P35" i="6"/>
  <c r="R26" i="6"/>
  <c r="J13" i="28" s="1"/>
  <c r="N23" i="6"/>
  <c r="F16" i="28" s="1"/>
  <c r="M23" i="6"/>
  <c r="R21" i="6"/>
  <c r="P21" i="6"/>
  <c r="G21" i="7"/>
  <c r="M21" i="7" s="1"/>
  <c r="M20" i="6"/>
  <c r="N20" i="6"/>
  <c r="R20" i="6"/>
  <c r="P20" i="6"/>
  <c r="G20" i="7"/>
  <c r="N6" i="6"/>
  <c r="G6" i="7"/>
  <c r="Q7" i="6"/>
  <c r="G5" i="38"/>
  <c r="G24" i="38"/>
  <c r="O18" i="6"/>
  <c r="M32" i="6"/>
  <c r="M18" i="6"/>
  <c r="D10" i="28"/>
  <c r="N18" i="6"/>
  <c r="B25" i="7"/>
  <c r="B19" i="38"/>
  <c r="Q12" i="6"/>
  <c r="P32" i="6"/>
  <c r="O6" i="6"/>
  <c r="B11" i="7"/>
  <c r="B7" i="38"/>
  <c r="O20" i="6"/>
  <c r="Q32" i="6"/>
  <c r="O22" i="6"/>
  <c r="G15" i="28" s="1"/>
  <c r="R19" i="6"/>
  <c r="P28" i="6"/>
  <c r="R14" i="6"/>
  <c r="R6" i="6"/>
  <c r="C5" i="6"/>
  <c r="D5" i="7" s="1"/>
  <c r="B28" i="7"/>
  <c r="M33" i="6"/>
  <c r="C8" i="28"/>
  <c r="M28" i="6"/>
  <c r="E2" i="36"/>
  <c r="D32" i="7"/>
  <c r="G32" i="7" s="1"/>
  <c r="P33" i="6"/>
  <c r="P6" i="6"/>
  <c r="O24" i="6"/>
  <c r="Q35" i="6"/>
  <c r="R18" i="6"/>
  <c r="D14" i="28"/>
  <c r="R33" i="6"/>
  <c r="R12" i="6"/>
  <c r="J12" i="28" s="1"/>
  <c r="G15" i="38"/>
  <c r="B16" i="7"/>
  <c r="B10" i="38"/>
  <c r="B33" i="7"/>
  <c r="M12" i="6"/>
  <c r="C19" i="28"/>
  <c r="N35" i="6"/>
  <c r="Q21" i="6"/>
  <c r="Q6" i="6"/>
  <c r="P12" i="6"/>
  <c r="O21" i="6"/>
  <c r="P7" i="6"/>
  <c r="G18" i="38"/>
  <c r="G22" i="38"/>
  <c r="F4" i="28"/>
  <c r="M24" i="6"/>
  <c r="N32" i="6"/>
  <c r="Q20" i="6"/>
  <c r="P16" i="6"/>
  <c r="P11" i="6"/>
  <c r="H11" i="28" s="1"/>
  <c r="Q31" i="6"/>
  <c r="P24" i="6"/>
  <c r="R34" i="6"/>
  <c r="R9" i="6"/>
  <c r="O7" i="6"/>
  <c r="G20" i="38"/>
  <c r="B35" i="7"/>
  <c r="C17" i="28"/>
  <c r="B24" i="38"/>
  <c r="G22" i="7"/>
  <c r="K15" i="28" s="1"/>
  <c r="Q18" i="6"/>
  <c r="P18" i="6"/>
  <c r="B18" i="7"/>
  <c r="O32" i="6"/>
  <c r="O31" i="6"/>
  <c r="Q29" i="6"/>
  <c r="I19" i="28" s="1"/>
  <c r="N7" i="6"/>
  <c r="N33" i="6"/>
  <c r="C15" i="28"/>
  <c r="B16" i="38"/>
  <c r="B24" i="7"/>
  <c r="M35" i="6"/>
  <c r="M21" i="6"/>
  <c r="B20" i="7"/>
  <c r="B21" i="7"/>
  <c r="B15" i="38"/>
  <c r="B31" i="7"/>
  <c r="B25" i="38"/>
  <c r="P27" i="6"/>
  <c r="E4" i="35"/>
  <c r="Q23" i="6"/>
  <c r="P23" i="6"/>
  <c r="O23" i="6"/>
  <c r="G16" i="28" s="1"/>
  <c r="D23" i="7"/>
  <c r="G23" i="7" s="1"/>
  <c r="K16" i="28" s="1"/>
  <c r="B26" i="7"/>
  <c r="C13" i="28"/>
  <c r="O14" i="6"/>
  <c r="G12" i="28" s="1"/>
  <c r="C18" i="28"/>
  <c r="B8" i="38"/>
  <c r="B13" i="7"/>
  <c r="X18" i="32"/>
  <c r="X16" i="32" s="1"/>
  <c r="M14" i="6"/>
  <c r="E12" i="28" s="1"/>
  <c r="M13" i="6"/>
  <c r="N13" i="6"/>
  <c r="F18" i="28" s="1"/>
  <c r="P13" i="6"/>
  <c r="H18" i="28" s="1"/>
  <c r="D18" i="28"/>
  <c r="D13" i="7"/>
  <c r="G13" i="7" s="1"/>
  <c r="K18" i="28" s="1"/>
  <c r="L18" i="28" s="1"/>
  <c r="M7" i="6"/>
  <c r="R7" i="6"/>
  <c r="Y35" i="28"/>
  <c r="J4" i="28"/>
  <c r="Q2" i="6"/>
  <c r="Y34" i="28"/>
  <c r="F2" i="36"/>
  <c r="D2" i="36"/>
  <c r="M3" i="6"/>
  <c r="Q13" i="28" s="1"/>
  <c r="B15" i="7"/>
  <c r="J9" i="28"/>
  <c r="M22" i="6"/>
  <c r="E15" i="28" s="1"/>
  <c r="H9" i="28"/>
  <c r="N34" i="6"/>
  <c r="Y33" i="28"/>
  <c r="D31" i="7"/>
  <c r="G31" i="7" s="1"/>
  <c r="P34" i="6"/>
  <c r="O27" i="6"/>
  <c r="G10" i="28" s="1"/>
  <c r="C30" i="6"/>
  <c r="P22" i="6"/>
  <c r="H15" i="28" s="1"/>
  <c r="P14" i="6"/>
  <c r="Q27" i="6"/>
  <c r="I10" i="28" s="1"/>
  <c r="C15" i="6"/>
  <c r="D15" i="7" s="1"/>
  <c r="R23" i="6"/>
  <c r="J16" i="28" s="1"/>
  <c r="R28" i="6"/>
  <c r="J10" i="28" s="1"/>
  <c r="R29" i="6"/>
  <c r="J19" i="28" s="1"/>
  <c r="R13" i="6"/>
  <c r="J18" i="28" s="1"/>
  <c r="M19" i="6"/>
  <c r="N19" i="6"/>
  <c r="N27" i="6"/>
  <c r="F10" i="28" s="1"/>
  <c r="I8" i="28"/>
  <c r="C2" i="36"/>
  <c r="D34" i="7"/>
  <c r="G34" i="7" s="1"/>
  <c r="D14" i="7"/>
  <c r="G14" i="7" s="1"/>
  <c r="D27" i="7"/>
  <c r="G27" i="7" s="1"/>
  <c r="K10" i="28" s="1"/>
  <c r="Q22" i="6"/>
  <c r="I15" i="28" s="1"/>
  <c r="P19" i="6"/>
  <c r="O19" i="6"/>
  <c r="C25" i="6"/>
  <c r="D25" i="7" s="1"/>
  <c r="R35" i="6"/>
  <c r="R30" i="6" s="1"/>
  <c r="J17" i="28" s="1"/>
  <c r="P2" i="6"/>
  <c r="Q14" i="6"/>
  <c r="P31" i="6"/>
  <c r="O34" i="6"/>
  <c r="C8" i="6"/>
  <c r="D8" i="7" s="1"/>
  <c r="N22" i="6"/>
  <c r="F15" i="28" s="1"/>
  <c r="M27" i="6"/>
  <c r="E10" i="28" s="1"/>
  <c r="Y30" i="28"/>
  <c r="D12" i="28"/>
  <c r="B22" i="7"/>
  <c r="O13" i="6"/>
  <c r="G18" i="28" s="1"/>
  <c r="Q34" i="6"/>
  <c r="R22" i="6"/>
  <c r="J15" i="28" s="1"/>
  <c r="D15" i="28"/>
  <c r="M31" i="6"/>
  <c r="M30" i="6" s="1"/>
  <c r="E17" i="28" s="1"/>
  <c r="N31" i="6"/>
  <c r="N14" i="6"/>
  <c r="Q19" i="6"/>
  <c r="L19" i="7" s="1"/>
  <c r="D19" i="7"/>
  <c r="G19" i="7" s="1"/>
  <c r="H2" i="36"/>
  <c r="R3" i="6"/>
  <c r="J5" i="28" s="1"/>
  <c r="G2" i="36"/>
  <c r="H5" i="28"/>
  <c r="G5" i="28"/>
  <c r="M28" i="7"/>
  <c r="O26" i="6"/>
  <c r="G13" i="28" s="1"/>
  <c r="I13" i="28"/>
  <c r="K12" i="28" l="1"/>
  <c r="L12" i="28" s="1"/>
  <c r="M16" i="7"/>
  <c r="H14" i="28"/>
  <c r="H16" i="28"/>
  <c r="I16" i="28"/>
  <c r="L19" i="28"/>
  <c r="L7" i="7"/>
  <c r="M7" i="7" s="1"/>
  <c r="J14" i="28"/>
  <c r="F14" i="28"/>
  <c r="G19" i="38"/>
  <c r="I14" i="28"/>
  <c r="I12" i="28"/>
  <c r="P25" i="6"/>
  <c r="G9" i="38"/>
  <c r="E16" i="28"/>
  <c r="F12" i="28"/>
  <c r="D7" i="28"/>
  <c r="M23" i="7"/>
  <c r="N30" i="6"/>
  <c r="F17" i="28" s="1"/>
  <c r="R25" i="6"/>
  <c r="Q30" i="6"/>
  <c r="I17" i="28" s="1"/>
  <c r="R5" i="6"/>
  <c r="J7" i="28" s="1"/>
  <c r="Q5" i="6"/>
  <c r="I7" i="28" s="1"/>
  <c r="O5" i="6"/>
  <c r="G7" i="28" s="1"/>
  <c r="N5" i="6"/>
  <c r="F7" i="28" s="1"/>
  <c r="M31" i="7"/>
  <c r="G15" i="7"/>
  <c r="L8" i="28"/>
  <c r="O30" i="6"/>
  <c r="G17" i="28" s="1"/>
  <c r="H12" i="28"/>
  <c r="M5" i="6"/>
  <c r="M15" i="6"/>
  <c r="M32" i="7"/>
  <c r="M33" i="7"/>
  <c r="G5" i="7"/>
  <c r="K7" i="28" s="1"/>
  <c r="P5" i="6"/>
  <c r="H10" i="28"/>
  <c r="N25" i="6"/>
  <c r="Q10" i="28"/>
  <c r="R10" i="28" s="1"/>
  <c r="E14" i="28"/>
  <c r="Q15" i="6"/>
  <c r="M14" i="7" s="1"/>
  <c r="P15" i="6"/>
  <c r="O15" i="6"/>
  <c r="G8" i="7"/>
  <c r="N8" i="6"/>
  <c r="E18" i="28"/>
  <c r="M8" i="6"/>
  <c r="E5" i="28"/>
  <c r="I23" i="38"/>
  <c r="J23" i="38" s="1"/>
  <c r="I21" i="38"/>
  <c r="J21" i="38" s="1"/>
  <c r="I29" i="38"/>
  <c r="J29" i="38" s="1"/>
  <c r="I8" i="38"/>
  <c r="J8" i="38" s="1"/>
  <c r="I6" i="38"/>
  <c r="I18" i="38"/>
  <c r="J18" i="38" s="1"/>
  <c r="I16" i="38"/>
  <c r="J16" i="38" s="1"/>
  <c r="I25" i="38"/>
  <c r="I12" i="38"/>
  <c r="J12" i="38" s="1"/>
  <c r="I22" i="38"/>
  <c r="J22" i="38" s="1"/>
  <c r="I20" i="38"/>
  <c r="I10" i="38"/>
  <c r="I7" i="38"/>
  <c r="J7" i="38" s="1"/>
  <c r="I28" i="38"/>
  <c r="J28" i="38" s="1"/>
  <c r="I17" i="38"/>
  <c r="J17" i="38" s="1"/>
  <c r="I15" i="38"/>
  <c r="J15" i="38" s="1"/>
  <c r="I13" i="38"/>
  <c r="J13" i="38" s="1"/>
  <c r="I26" i="38"/>
  <c r="J26" i="38" s="1"/>
  <c r="I11" i="38"/>
  <c r="J11" i="38" s="1"/>
  <c r="I14" i="38"/>
  <c r="J14" i="38" s="1"/>
  <c r="I27" i="38"/>
  <c r="J27" i="38" s="1"/>
  <c r="L10" i="28"/>
  <c r="D30" i="7"/>
  <c r="D17" i="28"/>
  <c r="D6" i="28" s="1"/>
  <c r="G14" i="28"/>
  <c r="R8" i="6"/>
  <c r="K14" i="28"/>
  <c r="G30" i="7"/>
  <c r="K17" i="28" s="1"/>
  <c r="N15" i="6"/>
  <c r="Q8" i="6"/>
  <c r="R15" i="6"/>
  <c r="P30" i="6"/>
  <c r="H17" i="28" s="1"/>
  <c r="P8" i="6"/>
  <c r="M25" i="6"/>
  <c r="Q25" i="6"/>
  <c r="M24" i="7" s="1"/>
  <c r="C4" i="6"/>
  <c r="O8" i="6"/>
  <c r="M18" i="7"/>
  <c r="M20" i="7"/>
  <c r="Q9" i="28"/>
  <c r="R9" i="28" s="1"/>
  <c r="M13" i="7"/>
  <c r="M34" i="7"/>
  <c r="M22" i="7"/>
  <c r="M35" i="7"/>
  <c r="Q11" i="28"/>
  <c r="R11" i="28" s="1"/>
  <c r="L6" i="7"/>
  <c r="M6" i="7" s="1"/>
  <c r="M17" i="7"/>
  <c r="M19" i="7"/>
  <c r="M10" i="7"/>
  <c r="M12" i="7"/>
  <c r="L15" i="28"/>
  <c r="L9" i="28"/>
  <c r="L16" i="28"/>
  <c r="G25" i="7"/>
  <c r="M26" i="7"/>
  <c r="R13" i="28"/>
  <c r="O25" i="6"/>
  <c r="L13" i="28"/>
  <c r="K21" i="7" l="1"/>
  <c r="K12" i="7"/>
  <c r="K23" i="7"/>
  <c r="K14" i="7"/>
  <c r="K32" i="7"/>
  <c r="K13" i="7"/>
  <c r="K29" i="7"/>
  <c r="K20" i="7"/>
  <c r="K28" i="7"/>
  <c r="K19" i="7"/>
  <c r="K10" i="7"/>
  <c r="K18" i="7"/>
  <c r="K9" i="7"/>
  <c r="K35" i="7"/>
  <c r="K26" i="7"/>
  <c r="K17" i="7"/>
  <c r="K34" i="7"/>
  <c r="K24" i="7"/>
  <c r="K16" i="7"/>
  <c r="K33" i="7"/>
  <c r="K22" i="7"/>
  <c r="K27" i="7"/>
  <c r="J6" i="28"/>
  <c r="F6" i="28"/>
  <c r="O4" i="6"/>
  <c r="AA32" i="28" s="1"/>
  <c r="Q16" i="28"/>
  <c r="R16" i="28" s="1"/>
  <c r="I6" i="28"/>
  <c r="G3" i="38"/>
  <c r="N4" i="6"/>
  <c r="AA31" i="28" s="1"/>
  <c r="R4" i="6"/>
  <c r="AA35" i="28" s="1"/>
  <c r="Z35" i="28" s="1"/>
  <c r="Q4" i="6"/>
  <c r="AA34" i="28" s="1"/>
  <c r="G6" i="28"/>
  <c r="M27" i="7"/>
  <c r="G3" i="7"/>
  <c r="H3" i="7" s="1"/>
  <c r="L25" i="7"/>
  <c r="E7" i="28"/>
  <c r="E6" i="28" s="1"/>
  <c r="M4" i="6"/>
  <c r="AA30" i="28" s="1"/>
  <c r="H7" i="28"/>
  <c r="L7" i="28" s="1"/>
  <c r="P4" i="6"/>
  <c r="AA33" i="28" s="1"/>
  <c r="K6" i="28"/>
  <c r="L6" i="28" s="1"/>
  <c r="L14" i="28"/>
  <c r="L17" i="28"/>
  <c r="H26" i="38"/>
  <c r="H8" i="38"/>
  <c r="H23" i="38"/>
  <c r="H16" i="38"/>
  <c r="H18" i="38"/>
  <c r="H29" i="38"/>
  <c r="H20" i="38"/>
  <c r="H14" i="38"/>
  <c r="H27" i="38"/>
  <c r="H22" i="38"/>
  <c r="H25" i="38"/>
  <c r="H10" i="38"/>
  <c r="H13" i="38"/>
  <c r="H21" i="38"/>
  <c r="H11" i="38"/>
  <c r="H6" i="38"/>
  <c r="H12" i="38"/>
  <c r="H7" i="38"/>
  <c r="H28" i="38"/>
  <c r="H17" i="38"/>
  <c r="H15" i="38"/>
  <c r="Q8" i="28"/>
  <c r="R8" i="28" s="1"/>
  <c r="Q15" i="28"/>
  <c r="R15" i="28" s="1"/>
  <c r="I5" i="38"/>
  <c r="J6" i="38"/>
  <c r="M11" i="7"/>
  <c r="J10" i="38"/>
  <c r="I9" i="38"/>
  <c r="I19" i="38"/>
  <c r="J20" i="38"/>
  <c r="J25" i="38"/>
  <c r="I24" i="38"/>
  <c r="K6" i="7"/>
  <c r="K7" i="7"/>
  <c r="Q18" i="28"/>
  <c r="R18" i="28" s="1"/>
  <c r="M9" i="7"/>
  <c r="L30" i="7"/>
  <c r="Q17" i="28" s="1"/>
  <c r="R17" i="28" s="1"/>
  <c r="L5" i="7"/>
  <c r="L15" i="7"/>
  <c r="Q12" i="28"/>
  <c r="R12" i="28" s="1"/>
  <c r="L8" i="7"/>
  <c r="Q14" i="28"/>
  <c r="R14" i="28" s="1"/>
  <c r="Q19" i="28"/>
  <c r="R19" i="28" s="1"/>
  <c r="M29" i="7"/>
  <c r="J1" i="7" l="1"/>
  <c r="F22" i="28"/>
  <c r="H4" i="7"/>
  <c r="I4" i="7"/>
  <c r="I35" i="7"/>
  <c r="I26" i="7"/>
  <c r="I17" i="7"/>
  <c r="J17" i="7" s="1"/>
  <c r="U33" i="28" s="1"/>
  <c r="I7" i="7"/>
  <c r="J7" i="7" s="1"/>
  <c r="H28" i="7"/>
  <c r="H19" i="7"/>
  <c r="H10" i="7"/>
  <c r="I34" i="7"/>
  <c r="I33" i="7"/>
  <c r="I23" i="7"/>
  <c r="I14" i="7"/>
  <c r="H35" i="7"/>
  <c r="H26" i="7"/>
  <c r="H17" i="7"/>
  <c r="H7" i="7"/>
  <c r="H33" i="7"/>
  <c r="H14" i="7"/>
  <c r="I29" i="7"/>
  <c r="I11" i="7"/>
  <c r="H22" i="7"/>
  <c r="H21" i="7"/>
  <c r="I9" i="7"/>
  <c r="I16" i="7"/>
  <c r="H18" i="7"/>
  <c r="I32" i="7"/>
  <c r="I22" i="7"/>
  <c r="I13" i="7"/>
  <c r="H34" i="7"/>
  <c r="H24" i="7"/>
  <c r="H16" i="7"/>
  <c r="H6" i="7"/>
  <c r="I31" i="7"/>
  <c r="I12" i="7"/>
  <c r="H23" i="7"/>
  <c r="I20" i="7"/>
  <c r="H32" i="7"/>
  <c r="H13" i="7"/>
  <c r="H12" i="7"/>
  <c r="H29" i="7"/>
  <c r="H20" i="7"/>
  <c r="H11" i="7"/>
  <c r="I6" i="7"/>
  <c r="H9" i="7"/>
  <c r="I21" i="7"/>
  <c r="I27" i="7"/>
  <c r="I24" i="7"/>
  <c r="H27" i="7"/>
  <c r="I28" i="7"/>
  <c r="I19" i="7"/>
  <c r="I10" i="7"/>
  <c r="H31" i="7"/>
  <c r="I18" i="7"/>
  <c r="J18" i="7" s="1"/>
  <c r="U34" i="28" s="1"/>
  <c r="Z37" i="28"/>
  <c r="Z39" i="28" s="1"/>
  <c r="Z33" i="28"/>
  <c r="Z32" i="28"/>
  <c r="H6" i="28"/>
  <c r="T12" i="28" s="1"/>
  <c r="M12" i="28" s="1"/>
  <c r="Q7" i="28"/>
  <c r="R7" i="28" s="1"/>
  <c r="L3" i="7"/>
  <c r="Z30" i="28"/>
  <c r="Z31" i="28"/>
  <c r="I3" i="38"/>
  <c r="Z34" i="28"/>
  <c r="I8" i="7" l="1"/>
  <c r="J9" i="7"/>
  <c r="U31" i="28" s="1"/>
  <c r="I5" i="7"/>
  <c r="J6" i="7"/>
  <c r="I30" i="7"/>
  <c r="I15" i="7"/>
  <c r="J16" i="7"/>
  <c r="U32" i="28" s="1"/>
  <c r="I25" i="7"/>
  <c r="U11" i="28"/>
  <c r="T10" i="28"/>
  <c r="M10" i="28" s="1"/>
  <c r="U14" i="28"/>
  <c r="U7" i="28"/>
  <c r="T9" i="28"/>
  <c r="M9" i="28" s="1"/>
  <c r="T13" i="28"/>
  <c r="M13" i="28" s="1"/>
  <c r="T8" i="28"/>
  <c r="M8" i="28" s="1"/>
  <c r="T11" i="28"/>
  <c r="M11" i="28" s="1"/>
  <c r="T17" i="28"/>
  <c r="M17" i="28" s="1"/>
  <c r="U12" i="28"/>
  <c r="U13" i="28"/>
  <c r="U18" i="28"/>
  <c r="U17" i="28"/>
  <c r="U8" i="28"/>
  <c r="T14" i="28"/>
  <c r="M14" i="28" s="1"/>
  <c r="T7" i="28"/>
  <c r="M7" i="28" s="1"/>
  <c r="U19" i="28"/>
  <c r="T15" i="28"/>
  <c r="M15" i="28" s="1"/>
  <c r="T16" i="28"/>
  <c r="M16" i="28" s="1"/>
  <c r="U15" i="28"/>
  <c r="T19" i="28"/>
  <c r="M19" i="28" s="1"/>
  <c r="U10" i="28"/>
  <c r="Q6" i="28"/>
  <c r="U16" i="28"/>
  <c r="T18" i="28"/>
  <c r="M18" i="28" s="1"/>
  <c r="U9" i="28"/>
  <c r="U30" i="28" l="1"/>
  <c r="E3" i="38" s="1"/>
  <c r="J5" i="7"/>
  <c r="U6" i="28"/>
  <c r="U4" i="28" s="1"/>
  <c r="T6" i="28"/>
  <c r="K4" i="28" l="1"/>
  <c r="M5" i="28" s="1"/>
  <c r="T4" i="28"/>
</calcChain>
</file>

<file path=xl/comments1.xml><?xml version="1.0" encoding="utf-8"?>
<comments xmlns="http://schemas.openxmlformats.org/spreadsheetml/2006/main">
  <authors>
    <author>Nguyen Thi Thuy An (DTL.BA)</author>
  </authors>
  <commentList>
    <comment ref="B45" authorId="0" shapeId="0">
      <text>
        <r>
          <rPr>
            <b/>
            <sz val="9"/>
            <color indexed="81"/>
            <rFont val="Tahoma"/>
            <family val="2"/>
          </rPr>
          <t>Nguyen Thi Thuy An (DTL.BA):</t>
        </r>
        <r>
          <rPr>
            <sz val="9"/>
            <color indexed="81"/>
            <rFont val="Tahoma"/>
            <family val="2"/>
          </rPr>
          <t xml:space="preserve">
Normally we need to define the criteria to measure, analyze and come up with solution, so 3 can be omitted?</t>
        </r>
      </text>
    </comment>
    <comment ref="B88" authorId="0" shapeId="0">
      <text>
        <r>
          <rPr>
            <b/>
            <sz val="9"/>
            <color indexed="81"/>
            <rFont val="Tahoma"/>
            <family val="2"/>
          </rPr>
          <t>Nguyen Thi Thuy An (DTL.BA):</t>
        </r>
        <r>
          <rPr>
            <sz val="9"/>
            <color indexed="81"/>
            <rFont val="Tahoma"/>
            <family val="2"/>
          </rPr>
          <t xml:space="preserve">
We want to encourage the sharing activities so the level is lowered
</t>
        </r>
      </text>
    </comment>
  </commentList>
</comments>
</file>

<file path=xl/sharedStrings.xml><?xml version="1.0" encoding="utf-8"?>
<sst xmlns="http://schemas.openxmlformats.org/spreadsheetml/2006/main" count="996" uniqueCount="700">
  <si>
    <t>Performs a commander role with overall responsibility for projects based on multiple platforms and business domains while supervising teams of professionals and middle management.</t>
  </si>
  <si>
    <t>Performs a senior management role with overall responsibility for projects while supervising teams of professionals.</t>
  </si>
  <si>
    <t>Performs technical tasks with limited direct supervision and solves problems based on principles of applied science technology. Also makes some decisions for which they assume responsibility.</t>
  </si>
  <si>
    <t>Receives on-the-job training in a variety of new environments while working under close supervision as they gain experience, typically working on small tasks within larger projects.</t>
  </si>
  <si>
    <t>Master</t>
  </si>
  <si>
    <t>In-Depth knowledge and skills as Insider, Scientist, Researcher, Producer, Creator, Inventor, Core Handler.</t>
  </si>
  <si>
    <t>Expert</t>
  </si>
  <si>
    <t>No Knowledge</t>
  </si>
  <si>
    <t>Have no knowledge and experience.</t>
  </si>
  <si>
    <t>Can fulfill the basic knowledge of a foreign language, such as ordering meals, the question of the time, and the question of the directions.</t>
  </si>
  <si>
    <t>Can fulfill the talking about social interactions such as self-introduction, introducing about family, and debate the current events.</t>
  </si>
  <si>
    <t>Can easily discuss a variety of topics and almost totally understand what others are saying in the conversation.</t>
  </si>
  <si>
    <t>Can participate in all manners of the conversations with ease and rarely makes grammatical mistakes.</t>
  </si>
  <si>
    <t>Can use the language in the way similar educated native speakers would.</t>
  </si>
  <si>
    <t>Works in a complex technological area without direct supervision (independently). Receives broad task objectives, is responsible for significant technical decisions and may train other professionals.</t>
  </si>
  <si>
    <t>Can read the basic knowledge of a foreign language, such as ordering meals, the question of the time, and the question of the directions.</t>
  </si>
  <si>
    <t>Level Label</t>
  </si>
  <si>
    <t>Advanced</t>
  </si>
  <si>
    <t>Intermediate</t>
  </si>
  <si>
    <t>Limited Experience</t>
  </si>
  <si>
    <t>Fundamental Awareness</t>
  </si>
  <si>
    <t>No Certificate or Award</t>
  </si>
  <si>
    <t>Performs tasks independently (Project level)</t>
  </si>
  <si>
    <t>Performs tasks with limited direct supervision (Project level)</t>
  </si>
  <si>
    <t>No Practical Proficiency</t>
  </si>
  <si>
    <t>Definition</t>
  </si>
  <si>
    <t>Not ranked</t>
  </si>
  <si>
    <t>Fundamental awareness</t>
  </si>
  <si>
    <t>Performs assigned tasks under guideline from supervision (Project level)</t>
  </si>
  <si>
    <t>Option List</t>
  </si>
  <si>
    <t>Explanation</t>
  </si>
  <si>
    <t>Remark</t>
  </si>
  <si>
    <t>RANKING INDEX</t>
  </si>
  <si>
    <t>Start</t>
  </si>
  <si>
    <t>Pointer</t>
  </si>
  <si>
    <t>Need to improve?</t>
  </si>
  <si>
    <t>Action to improve</t>
  </si>
  <si>
    <t>Shadow</t>
  </si>
  <si>
    <t>End Point</t>
  </si>
  <si>
    <t>Data for Speedometer Chart</t>
  </si>
  <si>
    <t>Ranking Index</t>
  </si>
  <si>
    <t>Requirement Items</t>
  </si>
  <si>
    <t>Deadline</t>
  </si>
  <si>
    <t>STEP 1:</t>
  </si>
  <si>
    <t>STEP 2:</t>
  </si>
  <si>
    <t>STEP 3:</t>
  </si>
  <si>
    <t>STEP 4:</t>
  </si>
  <si>
    <t>STEP 5:</t>
  </si>
  <si>
    <t>4. Steps to do the Assessment</t>
  </si>
  <si>
    <t>No Contribution</t>
  </si>
  <si>
    <t>Training, support other projects</t>
  </si>
  <si>
    <t>3: Intermediate</t>
  </si>
  <si>
    <t>4: Advanced</t>
  </si>
  <si>
    <t>2: Limited Experience</t>
  </si>
  <si>
    <t>0: Fundamental awareness</t>
  </si>
  <si>
    <t>Actual Score</t>
  </si>
  <si>
    <t>1. Purpose</t>
  </si>
  <si>
    <t>2. Users:</t>
  </si>
  <si>
    <t>3. Assessment criteria</t>
  </si>
  <si>
    <t>~1 year experience</t>
  </si>
  <si>
    <t>1: ~1 year experience</t>
  </si>
  <si>
    <t>2-3 years experience</t>
  </si>
  <si>
    <t>3-5 years experience</t>
  </si>
  <si>
    <t>5-7 years experience</t>
  </si>
  <si>
    <t>8-10 years experience</t>
  </si>
  <si>
    <t>13-15 years experience</t>
  </si>
  <si>
    <t>&gt;15 years experience</t>
  </si>
  <si>
    <t>2: 2-3 years experience</t>
  </si>
  <si>
    <t>3: 3-5 years experience</t>
  </si>
  <si>
    <t>4: 5-7 years experience</t>
  </si>
  <si>
    <t>5: 8-10 years experience</t>
  </si>
  <si>
    <t>Skill Level</t>
  </si>
  <si>
    <t>Foreign Language Skill Level</t>
  </si>
  <si>
    <t>Training course in year</t>
  </si>
  <si>
    <t>10-12 years experience</t>
  </si>
  <si>
    <t>Join &gt;=5 training or workshop</t>
  </si>
  <si>
    <t>No training/workshop</t>
  </si>
  <si>
    <t>Join &lt;=2 training or workshop</t>
  </si>
  <si>
    <t>Join &gt;=7 training or workshop</t>
  </si>
  <si>
    <t>Roles &amp; Responsibilities</t>
  </si>
  <si>
    <t>Assessment Items</t>
  </si>
  <si>
    <t>Date</t>
  </si>
  <si>
    <t>#ID</t>
  </si>
  <si>
    <t>Action</t>
  </si>
  <si>
    <t>Author/Editor</t>
  </si>
  <si>
    <t>Requirement</t>
  </si>
  <si>
    <t>Reviewer</t>
  </si>
  <si>
    <t>Approver</t>
  </si>
  <si>
    <t>Description</t>
  </si>
  <si>
    <t>Join &gt;=3 training or workshop</t>
  </si>
  <si>
    <t>File Version</t>
  </si>
  <si>
    <t>2: Join &gt;=3 training or workshop</t>
  </si>
  <si>
    <t>Foreign Language &amp; Certificates</t>
  </si>
  <si>
    <t>Foreign Language</t>
  </si>
  <si>
    <t>- Basic knowledge of one programming language/framework
- Can code under guideline or predefine solutions
- Can debug and UT</t>
  </si>
  <si>
    <t>- Can define solutions for simple or medium requirements
- Can code and perform UT for complex modules
- Can investigate, debug and fix but IT</t>
  </si>
  <si>
    <t>- Can define solutions/code/UT/IT for complex modules
- Can review code/mentor for junior developers
- Have experience with package deployment
- Can study new technology and framework to build new teams</t>
  </si>
  <si>
    <t>- Be responsible for the whole process from requirement to production deployment
- Can review code/mentor for junior developers
- Can study new technology and framework to build new teams
- Can create solution proposals and present to the customers.</t>
  </si>
  <si>
    <t>- Be responsible for the whole process from requirement to production deployment
- Can review code/mentor for junior developers
- Can study new technology and framework to build new teams
- Can create solution proposals and present to the customers.
- Expert in one area (.NET/Java/Python/AWS/ReacJS/Mobile,...)</t>
  </si>
  <si>
    <t>Performs a senior lead/management role</t>
  </si>
  <si>
    <t>Instruct/Solution design at program/account/BU level</t>
  </si>
  <si>
    <t>Experience level</t>
  </si>
  <si>
    <t>Team size average for project at least 3 months experience</t>
  </si>
  <si>
    <t>Experiences &amp; Contributions</t>
  </si>
  <si>
    <t>1: Join &lt;=2 training or workshop</t>
  </si>
  <si>
    <t>Community Contributions</t>
  </si>
  <si>
    <t>Trainer of Technical training of BU</t>
  </si>
  <si>
    <t>Lecturer of Technical workshop of FSOFT</t>
  </si>
  <si>
    <t>Trainer of CTC/FSOFT</t>
  </si>
  <si>
    <t>Lecturer/Trainer of Technical workshop of FSU</t>
  </si>
  <si>
    <t>1: Fundamental Awareness</t>
  </si>
  <si>
    <t>The Competency-Based JD Components and Weight</t>
  </si>
  <si>
    <t>ID</t>
  </si>
  <si>
    <t>I</t>
  </si>
  <si>
    <t>II</t>
  </si>
  <si>
    <t>III</t>
  </si>
  <si>
    <t>IV</t>
  </si>
  <si>
    <t>V</t>
  </si>
  <si>
    <t>Contribute &gt;= 1 IP/Solution at project level</t>
  </si>
  <si>
    <t>Contribute &gt;= 1 IP/Solution at BU/FSU level</t>
  </si>
  <si>
    <t>Contribute &gt;= 1 IP/Solution at FSOFT level</t>
  </si>
  <si>
    <t>Your Index</t>
  </si>
  <si>
    <t>Subordinate Development (1)</t>
  </si>
  <si>
    <t>Subordinate Development (2)</t>
  </si>
  <si>
    <t>NEW VERSION:</t>
  </si>
  <si>
    <t>CURRENT VERSION:</t>
  </si>
  <si>
    <t>Add the Action to improve to your Personal Development Plan and follow up for closure before the next Ranking Review.</t>
  </si>
  <si>
    <t>1: Training, support other projects</t>
  </si>
  <si>
    <t>2: Contribute &gt;= 1 IP/Solution at project level</t>
  </si>
  <si>
    <t>3: Contribute &gt;= 1 IP/Solution at BU/FSU level</t>
  </si>
  <si>
    <t>4: Contribute &gt;= 1 IP/Solution at FSOFT level</t>
  </si>
  <si>
    <t>Number of team members or number of people trained/coached</t>
  </si>
  <si>
    <t>Update</t>
  </si>
  <si>
    <t>Non-Engineering and Softskills</t>
  </si>
  <si>
    <t>KhangPH</t>
  </si>
  <si>
    <t>Roles and Responsibilities</t>
  </si>
  <si>
    <t>Education Background</t>
  </si>
  <si>
    <t>Graduate Certificates and Degrees</t>
  </si>
  <si>
    <t>Doctorate Degree (Ph.D)</t>
  </si>
  <si>
    <t>Post-Master's Certificate / Master's Degree +3 Years of Experience</t>
  </si>
  <si>
    <t>Master's Degree or 3 Years of Experience</t>
  </si>
  <si>
    <t>Master's Degree</t>
  </si>
  <si>
    <t>Graduate Degree / Bachelor Degree + 5 Years of Experience</t>
  </si>
  <si>
    <t>Bachelor Degree / Post-Baccalaureate Certificate</t>
  </si>
  <si>
    <t>Associate of Business / Science / Technical Study</t>
  </si>
  <si>
    <t>Post-Baccalaureate Certificate</t>
  </si>
  <si>
    <t>No Degree / Certification</t>
  </si>
  <si>
    <t>The Level of Responsibility</t>
  </si>
  <si>
    <t>- Language Proficiency: English, Japanese, Korean, Chinese, Germany, French, Thailand</t>
  </si>
  <si>
    <t>Job Family:</t>
  </si>
  <si>
    <t>Stream:</t>
  </si>
  <si>
    <t>Individual Professional</t>
  </si>
  <si>
    <t>Job Function:</t>
  </si>
  <si>
    <t>Software Development</t>
  </si>
  <si>
    <t>Job Sub-Function:</t>
  </si>
  <si>
    <t>Job Category:</t>
  </si>
  <si>
    <t>Job Sub-Category</t>
  </si>
  <si>
    <t>Specialty Field</t>
  </si>
  <si>
    <t>Job Purpose:</t>
  </si>
  <si>
    <t>Update History:</t>
  </si>
  <si>
    <t>Job Rank</t>
  </si>
  <si>
    <t>Code</t>
  </si>
  <si>
    <t>Job Title</t>
  </si>
  <si>
    <t>ITM Job Title</t>
  </si>
  <si>
    <t>POINTS = LEVEL (selected) * Weight% / MAX Level of Proficiency / 100</t>
  </si>
  <si>
    <t>CTC: Corporate Training Center</t>
  </si>
  <si>
    <t>AkaLink: Skills Rankings System</t>
  </si>
  <si>
    <t>POD: Project Opening Decision</t>
  </si>
  <si>
    <t>Not Required</t>
  </si>
  <si>
    <t>No Member/No Contribution</t>
  </si>
  <si>
    <t>No Required</t>
  </si>
  <si>
    <t>Not requried knowledge and experience.</t>
  </si>
  <si>
    <t>Not Requried</t>
  </si>
  <si>
    <t>0: Not Required</t>
  </si>
  <si>
    <t>3: Join &gt;=5 training or workshop</t>
  </si>
  <si>
    <t>Required Score</t>
  </si>
  <si>
    <t>Check number of mandatory items:</t>
  </si>
  <si>
    <t>Skills</t>
  </si>
  <si>
    <t>ACTIONS TO FILL GAPS FOR RANK</t>
  </si>
  <si>
    <t>Communication and Problem Solving</t>
  </si>
  <si>
    <t>Project Management</t>
  </si>
  <si>
    <t>ACTIONS TO IMPROVE YOUR RANKINGS</t>
  </si>
  <si>
    <t>Banking, Finance, Insurance, Aviation, Automotive, Oil and Gas, Health Care, ERP, Data Warehouse, Logistic, Real estate, Telecom, …</t>
  </si>
  <si>
    <t>Weight %</t>
  </si>
  <si>
    <t>Weighted %</t>
  </si>
  <si>
    <t>OVERALL CAPABILITIES</t>
  </si>
  <si>
    <t>Required Competency Level for Your Expected RANK</t>
  </si>
  <si>
    <t>Nguyen Van An - AnNV19</t>
  </si>
  <si>
    <t>Clone</t>
  </si>
  <si>
    <t>YOU ARE EXPECTED RANK</t>
  </si>
  <si>
    <t>Explanation of Assessment Items</t>
  </si>
  <si>
    <t>YOU ARE SELF-RANKED SCORE BETWEEN HIGHER AND LOWER</t>
  </si>
  <si>
    <t>Program Management</t>
  </si>
  <si>
    <t>Personal Skills</t>
  </si>
  <si>
    <t>Leadership</t>
  </si>
  <si>
    <t>- Work with team to set Project/Team Objectives
- Promote teamwork and communication, collaboration between team members
- Fostering Loyalty and Trust
- Motivating &amp; challenge team members, provision for feelings of accomplishment 
- Managing Distributed Teams</t>
  </si>
  <si>
    <t>Communication</t>
  </si>
  <si>
    <t>- Report Writing
- Technical Documentation
- Presentation
- 2-Way Communication</t>
  </si>
  <si>
    <t>- Writing project status report, issue report,…
- Understand and apply techniques &amp; best practices  in writing technical document such as user manual, SRS, Design documents, test cases… 
- Understand and utilize Presentation techniques
- Utilization and Practice of Communication Techniques, Effective Listening &amp; effective speaking in Information Transfering, dialog and interview</t>
  </si>
  <si>
    <t>Time Management</t>
  </si>
  <si>
    <t>Personal Time Management</t>
  </si>
  <si>
    <t>Skill for effectively manage your time, do more in less time, avoid stress, by utilize following techniques
- Action plan, Prioritise tasks, organizing, 
- Delegate, Share tasks or problems with others, Avoid distractions and interuptions to your work, avoid procastination, Take a regular break, Create habits</t>
  </si>
  <si>
    <t>Problem solving</t>
  </si>
  <si>
    <t>The process &amp; technique of working through details of a problem to reach a solution</t>
  </si>
  <si>
    <t>Counselling</t>
  </si>
  <si>
    <t xml:space="preserve">Understand the process &amp; techniques, quality required for effectively assisting and guiding others to explore difficulties by helping the client to see things more clearly, possibly from a different view-point, </t>
  </si>
  <si>
    <t>Teamwork</t>
  </si>
  <si>
    <t>Working collaboratively with a group of people in order to achieve a goal by trying to cooperate, using their individual skills and providing constructive feedback.</t>
  </si>
  <si>
    <t>Foreign languages</t>
  </si>
  <si>
    <t>- Reading
- Writing
- Listening
- Speaking</t>
  </si>
  <si>
    <t>- Reading email, documents, newspaper, books in foreign language
- Writing email, documents, specification in a foreign language
- Listening to conversations, speech in a foreign language
- Speaking and express the ideas in foreign languages</t>
  </si>
  <si>
    <t>Final judgement by Leader/Manager</t>
  </si>
  <si>
    <t>Proposed Job Rank</t>
  </si>
  <si>
    <t>Recommendation for FSOFTER</t>
  </si>
  <si>
    <t>Recommendation for Leader/Manager</t>
  </si>
  <si>
    <t>5: Expert</t>
  </si>
  <si>
    <t>Level 1</t>
  </si>
  <si>
    <t>Level 2</t>
  </si>
  <si>
    <t>Level 3</t>
  </si>
  <si>
    <t>Level 4</t>
  </si>
  <si>
    <t>Software Development (SWD)</t>
  </si>
  <si>
    <t>Complexity</t>
  </si>
  <si>
    <t>BUILD-UP</t>
  </si>
  <si>
    <t>BUY-IN</t>
  </si>
  <si>
    <t>FSOFTER is required to take some the responsibilities and roles as below</t>
  </si>
  <si>
    <t>13e-CV/HR/HDCV/CM</t>
  </si>
  <si>
    <t>1.0</t>
  </si>
  <si>
    <t>Version</t>
  </si>
  <si>
    <t>Effect Date</t>
  </si>
  <si>
    <t>Career Path Development =&gt; Refer to sheet 03. Career Paths</t>
  </si>
  <si>
    <t>Competency Framework =&gt; Refer to sheet 04. Job Descriptions</t>
  </si>
  <si>
    <t xml:space="preserve">Go to sheet [05. Job Rankings], </t>
  </si>
  <si>
    <t xml:space="preserve">Continue with sheet [05. Job Rankings], </t>
  </si>
  <si>
    <t>Go to sheet [06. Assessment Summary] to view the Overall capabilities &amp; actions needed to achieve your expected Ranking.</t>
  </si>
  <si>
    <t>Subordinate Development</t>
  </si>
  <si>
    <t>Organization and Project Contributions</t>
  </si>
  <si>
    <t>Individual Learning in Year</t>
  </si>
  <si>
    <t>ACTUAL RANKED  LEVEL</t>
  </si>
  <si>
    <t>Cloned for BA Job Roles based on SEFIX Framework</t>
  </si>
  <si>
    <t>BA can use this template whenever they need to determine their competency or new onboarding BA in FSOFT.</t>
  </si>
  <si>
    <t>BUL/Project manager can use this template to verify BA ranking at CHE or Ad-hoc event.</t>
  </si>
  <si>
    <t>Business Analyst Capabilities Assessment &amp; Development</t>
  </si>
  <si>
    <t>Business Analyst</t>
  </si>
  <si>
    <t>Software Business Analysis</t>
  </si>
  <si>
    <t>Software Product Development</t>
  </si>
  <si>
    <t>Enable change in an enterprise by defining needs and recommend solutions that deliver value to stakeholders via the following activities:
- Strategy analysis (Define goals &amp; objectives)
- Business analysis planning &amp; monitoring and requirement life cycle management.
- Elicitation and collaboration (Requirement gathering)
- Requirement analysis and design definition (Define business solution from requirement) 
- Solution evaluation (Demo prototype &amp; UAT)</t>
  </si>
  <si>
    <t>Business Analysis Consultant</t>
  </si>
  <si>
    <t>Business Analysis Leader</t>
  </si>
  <si>
    <t>Associate Business Analyst</t>
  </si>
  <si>
    <t>Senior Business Analyst</t>
  </si>
  <si>
    <r>
      <t xml:space="preserve">Business Analysis Experiences </t>
    </r>
    <r>
      <rPr>
        <b/>
        <sz val="9"/>
        <color rgb="FFC00000"/>
        <rFont val="Calibri Light"/>
        <family val="2"/>
        <scheme val="major"/>
      </rPr>
      <t>(*)</t>
    </r>
  </si>
  <si>
    <r>
      <t xml:space="preserve">Business Requirement Analysis </t>
    </r>
    <r>
      <rPr>
        <b/>
        <sz val="9"/>
        <color rgb="FFFF0000"/>
        <rFont val="Calibri Light"/>
        <family val="2"/>
        <scheme val="major"/>
      </rPr>
      <t>(*)</t>
    </r>
  </si>
  <si>
    <t>Requirement Life-Cycle</t>
  </si>
  <si>
    <t>Business Requirement Life-Cycle</t>
  </si>
  <si>
    <t>Strategy Design</t>
  </si>
  <si>
    <t>Business Strategy Design</t>
  </si>
  <si>
    <t>Business Acumen</t>
  </si>
  <si>
    <t>Organization Knowledge</t>
  </si>
  <si>
    <t>Organization and Industry Knowledge</t>
  </si>
  <si>
    <t>Project Risk Management</t>
  </si>
  <si>
    <t>Project Human Resource Management</t>
  </si>
  <si>
    <t>Business Analysis Certifications</t>
  </si>
  <si>
    <t>Business Acumen and Mindsets</t>
  </si>
  <si>
    <t>Software Design and Technology Stack</t>
  </si>
  <si>
    <r>
      <t xml:space="preserve">Has responsibility for </t>
    </r>
    <r>
      <rPr>
        <b/>
        <sz val="10"/>
        <rFont val="Arial"/>
        <family val="2"/>
      </rPr>
      <t>documenting requirement</t>
    </r>
    <r>
      <rPr>
        <sz val="10"/>
        <rFont val="Arial"/>
        <family val="2"/>
      </rPr>
      <t xml:space="preserve">, </t>
    </r>
    <r>
      <rPr>
        <b/>
        <sz val="10"/>
        <rFont val="Arial"/>
        <family val="2"/>
      </rPr>
      <t>supporting communicate requirement to stakeholders</t>
    </r>
    <r>
      <rPr>
        <sz val="10"/>
        <rFont val="Arial"/>
        <family val="2"/>
      </rPr>
      <t xml:space="preserve"> (under guidance) as role BA member.</t>
    </r>
  </si>
  <si>
    <r>
      <t xml:space="preserve">Has responsibility for </t>
    </r>
    <r>
      <rPr>
        <b/>
        <sz val="10"/>
        <rFont val="Arial"/>
        <family val="2"/>
      </rPr>
      <t>gathering requirement</t>
    </r>
    <r>
      <rPr>
        <sz val="10"/>
        <rFont val="Arial"/>
        <family val="2"/>
      </rPr>
      <t xml:space="preserve">, </t>
    </r>
    <r>
      <rPr>
        <b/>
        <sz val="10"/>
        <rFont val="Arial"/>
        <family val="2"/>
      </rPr>
      <t xml:space="preserve">elaborating and validating </t>
    </r>
    <r>
      <rPr>
        <sz val="10"/>
        <rFont val="Arial"/>
        <family val="2"/>
      </rPr>
      <t>gathered requirement as role BA member.</t>
    </r>
  </si>
  <si>
    <r>
      <t xml:space="preserve">Has responsibility for </t>
    </r>
    <r>
      <rPr>
        <b/>
        <sz val="10"/>
        <rFont val="Arial"/>
        <family val="2"/>
      </rPr>
      <t xml:space="preserve">designing, analyzing and evaluating business solution </t>
    </r>
    <r>
      <rPr>
        <sz val="10"/>
        <rFont val="Arial"/>
        <family val="2"/>
      </rPr>
      <t>to ensure that it aligns with the project's goal as role  BA member.</t>
    </r>
  </si>
  <si>
    <r>
      <t xml:space="preserve">Has responsibility for </t>
    </r>
    <r>
      <rPr>
        <b/>
        <sz val="10"/>
        <rFont val="Arial"/>
        <family val="2"/>
      </rPr>
      <t>defining requirement approach &amp; process</t>
    </r>
    <r>
      <rPr>
        <sz val="10"/>
        <rFont val="Arial"/>
        <family val="2"/>
      </rPr>
      <t xml:space="preserve">, </t>
    </r>
    <r>
      <rPr>
        <b/>
        <sz val="10"/>
        <rFont val="Arial"/>
        <family val="2"/>
      </rPr>
      <t>planning and monitoring</t>
    </r>
    <r>
      <rPr>
        <sz val="10"/>
        <rFont val="Arial"/>
        <family val="2"/>
      </rPr>
      <t xml:space="preserve"> business analysis activities as role BA consultant.</t>
    </r>
  </si>
  <si>
    <r>
      <t xml:space="preserve">Has responsibility for </t>
    </r>
    <r>
      <rPr>
        <b/>
        <sz val="10"/>
        <rFont val="Arial"/>
        <family val="2"/>
      </rPr>
      <t>performing system evaluation &amp; enterprise solution consultation</t>
    </r>
    <r>
      <rPr>
        <sz val="10"/>
        <rFont val="Arial"/>
        <family val="2"/>
      </rPr>
      <t xml:space="preserve"> as role BA consultant.</t>
    </r>
    <r>
      <rPr>
        <b/>
        <sz val="10"/>
        <rFont val="Arial"/>
        <family val="2"/>
      </rPr>
      <t/>
    </r>
  </si>
  <si>
    <t>&gt;= 4 items in General Advanced Complexity Criteria
All items in Management Complexity Criteria
OR
&gt;= 5 items in General Advanced Complexity Criteria
&gt;= 2 item of Consultant Complexity Criteria</t>
  </si>
  <si>
    <t>&gt;= 4 items of Advanced Complexity Criteria
All items of Management Complexity Criteria
OR
All items in General Advanced 
All Consultant Complexity Criteria</t>
  </si>
  <si>
    <t>Medium</t>
  </si>
  <si>
    <t>Complex</t>
  </si>
  <si>
    <t>Very Complex</t>
  </si>
  <si>
    <t>Normal</t>
  </si>
  <si>
    <t>Low</t>
  </si>
  <si>
    <t>Industry Requirement Complexity level</t>
  </si>
  <si>
    <t>SBA01</t>
  </si>
  <si>
    <t>SBA02</t>
  </si>
  <si>
    <t>SBA04</t>
  </si>
  <si>
    <t>SBA05</t>
  </si>
  <si>
    <t>SBA06</t>
  </si>
  <si>
    <t>SBA07</t>
  </si>
  <si>
    <t>SBA08</t>
  </si>
  <si>
    <t>SBA09</t>
  </si>
  <si>
    <t>SBA10</t>
  </si>
  <si>
    <t>SBA11</t>
  </si>
  <si>
    <t>SBA12</t>
  </si>
  <si>
    <t>SBA13</t>
  </si>
  <si>
    <t>SBA14</t>
  </si>
  <si>
    <t>SBA15</t>
  </si>
  <si>
    <t>SBA16</t>
  </si>
  <si>
    <t>SBA17</t>
  </si>
  <si>
    <t>SBA18</t>
  </si>
  <si>
    <t>SBA23</t>
  </si>
  <si>
    <t>SBA19</t>
  </si>
  <si>
    <t>SBA20</t>
  </si>
  <si>
    <t>SBA21</t>
  </si>
  <si>
    <t>SBA22</t>
  </si>
  <si>
    <t>SBA24</t>
  </si>
  <si>
    <t>SBA25</t>
  </si>
  <si>
    <t>SBA26</t>
  </si>
  <si>
    <t>BU Level</t>
  </si>
  <si>
    <t>FSU Level</t>
  </si>
  <si>
    <t>FSOFT Level</t>
  </si>
  <si>
    <t>Global Level</t>
  </si>
  <si>
    <t>Have at least 50% BA2, 12% BA3</t>
  </si>
  <si>
    <t>Have at least 50% BA2, 12% BA3, 3% BA4</t>
  </si>
  <si>
    <t>Have at least 50% BA2, 10% BA3, 3% BA4, 0.75%BA5</t>
  </si>
  <si>
    <t>Have at least 70% BA2, 10% BA3, 3% BA4, 0.75%BA5</t>
  </si>
  <si>
    <t>BA Team Size Indicator</t>
  </si>
  <si>
    <t>Not Required BA3, BA4</t>
  </si>
  <si>
    <t>4: Global Level - Have at least 70% BA2, 10% BA3, 3% BA4, 0.75%BA5
3: FSOFT Level - Have at least 50% BA2, 10% BA3, 3% BA4, 0.75%BA5
2: FSU Level - Have at least 50% BA2, 12% BA3, 3% BA4
1: BU Level - Have at least 50% BA2, 12% BA3
0: Not Required</t>
  </si>
  <si>
    <t>No Complexity</t>
  </si>
  <si>
    <t>Not Required.</t>
  </si>
  <si>
    <t>All items of Elementary Complexity Criteria
&gt;= 1 item in General Advanced Complexity Criteria</t>
  </si>
  <si>
    <t>&gt;= 4 items of General Advanced Complexity Criteria
&gt;= 2 items of Management Complexity Criteria
OR &gt;=1 item in Consultant Complexity Criteria</t>
  </si>
  <si>
    <t>&gt;= 5 items in Elementary Complexity Criteria</t>
  </si>
  <si>
    <t>Business Analyst Activities to support/training other projects/team, presenter of workshop, contribute IP/solution…</t>
  </si>
  <si>
    <t>Business Requirements, Technology Stack, Customer Experience, Vision Development, Processes and Activities, Pricing and Positioning Strategies,  Drive Product Launch, …</t>
  </si>
  <si>
    <t>- Plan Business Analysis Approach
- Plan Stakeholders Engagement
- Plan Business Analysis Governance
- Plan Business Analysis Information Management
- Identify Business Analysis Performance Improvement</t>
  </si>
  <si>
    <t>- Measure Solution Performance
- Analyze Performance Measured
- Assess Solution Limitations
- Assess Enterprise Limitations
- Recommend Actions to Increase Solution's Value</t>
  </si>
  <si>
    <t>- Requirement Tracing
- Requirement Maintenance
- Requirement Prioritization
- Requirement Change Management
- Requirement Approval</t>
  </si>
  <si>
    <t>- Current State Analysis
- Future State Analysis
- Risk Analysis
- Define Change Strategy</t>
  </si>
  <si>
    <t>- Understanding of fundamental business principles and best practices.
- Analysis mindsets</t>
  </si>
  <si>
    <t>- Process Understanding
- Product Understanding
- Market trends &amp; Challenges
- Market drivers
- Customer Segmentation Understanding</t>
  </si>
  <si>
    <t>- Software Architecture Design
- Object Oriented Design
- Relational and Non-Relational Database Platforms</t>
  </si>
  <si>
    <t>- Required certificates in Business Analysis: Business Analyst, Software Business Analyst</t>
  </si>
  <si>
    <t>- Understand the ability of each BA to assign appropriate projects/tasks.
- Understand project request for BA service to determine proper resource plan.
- Regularly control BA allocation to optimize resource.
- Monitor and control progress and status of BA involvement in each and every project; detect, resolve and followup to close any issue arising. 
- Evaluate performance, identify strengths as well as improvement points and propose career path for each BA</t>
  </si>
  <si>
    <t>- Understand and utilize process of implementing risk response plans
- Tracking identified risks, monitoring residual risks, identifying new risks
- Evaluating risk process effectiveness throughout the project.
- Forecast risk that may occur in range of project that the team is responsible for.
- Analyze and perform preventitive actions to reduce risks raised by members.
- In the case that risks cannot be closed, raise the risk to leader/mamager and discuss with leader/manger to find out preventitive actions then follow up. (the risk in Methodology is the risk of Business solution. the risk mentioned in this sheet derives from project activities, especially in oursourcing project.)</t>
  </si>
  <si>
    <t>0: Not Requried</t>
  </si>
  <si>
    <t>1: BU Level</t>
  </si>
  <si>
    <t>3: FSOFT Level</t>
  </si>
  <si>
    <t>4: Global Level</t>
  </si>
  <si>
    <t>Level 5</t>
  </si>
  <si>
    <t>Level 6</t>
  </si>
  <si>
    <t>&gt;20 Members or Coaching 3-4 Senior BA</t>
  </si>
  <si>
    <t>10-20 Members or Coaching 1-2 Senior BA</t>
  </si>
  <si>
    <t>5-10 Members or Coaching 3-4 Junior BA</t>
  </si>
  <si>
    <t>1-5 Members or Coaching 1-2 Junior BA</t>
  </si>
  <si>
    <t>Coaching 3-4 Senior BA</t>
  </si>
  <si>
    <t>Coaching 1-2 Senior BA</t>
  </si>
  <si>
    <t>Coaching 3-4 Junior BA</t>
  </si>
  <si>
    <t>Coaching 1-2 Junior BA</t>
  </si>
  <si>
    <t>&gt;=4 Certificates of Business Analyst Advance or upper Advance</t>
  </si>
  <si>
    <t>&gt;=3 Certificates of Business Analyst Advance or Equivalent</t>
  </si>
  <si>
    <t>&gt;=2 Certificates of Business Analyst Advance or Equivalent</t>
  </si>
  <si>
    <t>Certified Business Analyst Advance or Equivalent</t>
  </si>
  <si>
    <t>At least 1 Certified Business Analyst Foundation or Equivalent</t>
  </si>
  <si>
    <t>Business Analyst Certificates level</t>
  </si>
  <si>
    <t>&gt;=31 Projects / Phases</t>
  </si>
  <si>
    <t>~21-30 Projects / Phases</t>
  </si>
  <si>
    <t>~16-20 Projects / Phases</t>
  </si>
  <si>
    <t>No Project / Phase</t>
  </si>
  <si>
    <t>Analyzed Projects / Phases and Man-Month</t>
  </si>
  <si>
    <t>1: ~01-03 Projects / Phases</t>
  </si>
  <si>
    <t>2: ~04-05 Projects / Phases</t>
  </si>
  <si>
    <t>3: ~06-10 Projects / Phases</t>
  </si>
  <si>
    <t>4: ~11-15 Projects / Phases</t>
  </si>
  <si>
    <t>5: ~16-20 Projects / Phases</t>
  </si>
  <si>
    <t>4: &gt;20 Members or Coaching 3-4 Senior BA</t>
  </si>
  <si>
    <t>3: 10-20 Members or Coaching 1-2 Senior BA</t>
  </si>
  <si>
    <t>2: 5-10 Members or Coaching 3-4 Junior BA</t>
  </si>
  <si>
    <t>1: 1-5 Members or Coaching 1-2 Junior BA</t>
  </si>
  <si>
    <t>4: &gt;=3 Certificates of Business Analyst Advance or Equivalent</t>
  </si>
  <si>
    <t>3: &gt;=2 Certificates of Business Analyst Advance or Equivalent</t>
  </si>
  <si>
    <t>2: Certified Business Analyst Advance or Equivalent</t>
  </si>
  <si>
    <t>1: At least 1 Certified Business Analyst Foundation or Equivalent</t>
  </si>
  <si>
    <t>Analytical and Critical Thinking</t>
  </si>
  <si>
    <t>- Research
- Forecasting
- Data mining
- Data and metrics interpreting
- Reporting
- Organization</t>
  </si>
  <si>
    <t>3-Bachelor Degree / Post-Baccalaureate Certificate</t>
  </si>
  <si>
    <t>Number of Projects/Phases</t>
  </si>
  <si>
    <t>ACTUAL RANKED SCORE</t>
  </si>
  <si>
    <t>Requirement Elicitation &amp; Collaboration</t>
  </si>
  <si>
    <t>- Elicitation Preparation
- Requirement Workshop
- Requirement Transfer &amp; Confirmation
- Requirement Management &amp; Communication</t>
  </si>
  <si>
    <t>Planning &amp; Monitoring</t>
  </si>
  <si>
    <t>Requirement Analysis</t>
  </si>
  <si>
    <t xml:space="preserve">- Requirement Specification
- Requirement Verification
- Requirement Validation
- Solution Definition &amp; Assessment
</t>
  </si>
  <si>
    <t xml:space="preserve">- Measure Solution Performance
- Analyze Performance Measured
- Assess Solution Limitations
- Assess Enterprise Limitations
- Recommend Actions to Increase Solution's Value
</t>
  </si>
  <si>
    <t>Solution Evaluation</t>
  </si>
  <si>
    <t xml:space="preserve">- Requirement Tracing
- Requirement Maintenance
- Requirement Prioritization
- Requirement Change Management
- Requirement Approval
</t>
  </si>
  <si>
    <r>
      <rPr>
        <b/>
        <sz val="8"/>
        <rFont val="Arial"/>
        <family val="2"/>
      </rPr>
      <t>Can be assessed on following knowledge items</t>
    </r>
    <r>
      <rPr>
        <sz val="8"/>
        <rFont val="Arial"/>
        <family val="2"/>
      </rPr>
      <t xml:space="preserve">
</t>
    </r>
    <r>
      <rPr>
        <b/>
        <sz val="8"/>
        <rFont val="Arial"/>
        <family val="2"/>
      </rPr>
      <t>Requirement Tracing</t>
    </r>
    <r>
      <rPr>
        <sz val="8"/>
        <rFont val="Arial"/>
        <family val="2"/>
      </rPr>
      <t xml:space="preserve">
- Divide the requirement into components.
- Trace the relationship between these components.
</t>
    </r>
    <r>
      <rPr>
        <b/>
        <sz val="8"/>
        <rFont val="Arial"/>
        <family val="2"/>
      </rPr>
      <t>Requirement Maintenance</t>
    </r>
    <r>
      <rPr>
        <sz val="8"/>
        <rFont val="Arial"/>
        <family val="2"/>
      </rPr>
      <t xml:space="preserve">
- Ensure that the requirement is always updated.
- Ensure consistent requirement documentation after updates.
</t>
    </r>
    <r>
      <rPr>
        <b/>
        <sz val="8"/>
        <rFont val="Arial"/>
        <family val="2"/>
      </rPr>
      <t>Requirement Prioritization</t>
    </r>
    <r>
      <rPr>
        <sz val="8"/>
        <rFont val="Arial"/>
        <family val="2"/>
      </rPr>
      <t xml:space="preserve">
Prioritize requirement components based on their:
- Benefit
- Penalty
- Cost
- Risk
- Dependency
- Urgency
- Stability
- Requisite Compliance to Regulatory or Policies of the Enterprise
</t>
    </r>
    <r>
      <rPr>
        <b/>
        <sz val="8"/>
        <rFont val="Arial"/>
        <family val="2"/>
      </rPr>
      <t>Requirement Change Management</t>
    </r>
    <r>
      <rPr>
        <sz val="8"/>
        <rFont val="Arial"/>
        <family val="2"/>
      </rPr>
      <t xml:space="preserve">
- Validate requirement changes against the project's scope of work.
- Impact analysis of requested requirement changes, based on the following:
   + Change aligned with overall strategy?
   + Value delivered impacted?
   + Timeline/resource plan impacted?
   + Any possible risk, opportunity, constraint?</t>
    </r>
    <r>
      <rPr>
        <b/>
        <sz val="8"/>
        <rFont val="Arial"/>
        <family val="2"/>
      </rPr>
      <t xml:space="preserve">
Requirement Approval</t>
    </r>
    <r>
      <rPr>
        <sz val="8"/>
        <rFont val="Arial"/>
        <family val="2"/>
      </rPr>
      <t xml:space="preserve">
- Identify Stakeholder Roles
- Manage requirement conflicts &amp; gain consensus from all stakeholders
- Track &amp; communicate requirement approval</t>
    </r>
  </si>
  <si>
    <t>Understanding of fundamental business principles and best practices.</t>
  </si>
  <si>
    <t>Industry Knowledge</t>
  </si>
  <si>
    <t>Understanding of the management, structure and business architecture of the enterprise.</t>
  </si>
  <si>
    <t xml:space="preserve">Software Design </t>
  </si>
  <si>
    <t>- Software Architecture
- Database</t>
  </si>
  <si>
    <t>- Object oriented concepts (object/class, inheritance, interface, encapsulation, polymorphism)
- Design concepts:  Defining object, creating class diagram, identify attributes, use design pattern, application framework
- Object oriented design principles (Single-responsiblity, Open-closed, Liskov substitution, Interface segregation, Dependency Inversion)</t>
  </si>
  <si>
    <t>Object Oriented Design</t>
  </si>
  <si>
    <t>Technological Solutions</t>
  </si>
  <si>
    <t>Technology Solution for Domain</t>
  </si>
  <si>
    <t>Understanding about a technology solutions that serves in domain:
- Standard features
- Customized features
- Benefit and Limitation</t>
  </si>
  <si>
    <t>Requirement Tools</t>
  </si>
  <si>
    <t>Know how to use tools for requirement work: 
- Mock up: basalmiq, visio...
- Requirement management: jira, confluence, workspace…</t>
  </si>
  <si>
    <t>Office Tools</t>
  </si>
  <si>
    <t xml:space="preserve">Know how to use basic document processing/data processing tool (microsoft office) </t>
  </si>
  <si>
    <t>Communication Tools</t>
  </si>
  <si>
    <t>Know how to use different tools to communicate (email, chat tool, online meeting tools…)</t>
  </si>
  <si>
    <r>
      <rPr>
        <b/>
        <sz val="10"/>
        <color theme="1"/>
        <rFont val="Calibri Light"/>
        <family val="2"/>
        <scheme val="major"/>
      </rPr>
      <t>Can be assessed on following knowledge items</t>
    </r>
    <r>
      <rPr>
        <sz val="10"/>
        <color theme="1"/>
        <rFont val="Calibri Light"/>
        <family val="2"/>
        <scheme val="major"/>
      </rPr>
      <t xml:space="preserve">
</t>
    </r>
    <r>
      <rPr>
        <b/>
        <sz val="10"/>
        <color theme="1"/>
        <rFont val="Calibri Light"/>
        <family val="2"/>
        <scheme val="major"/>
      </rPr>
      <t>1. Project Time Management</t>
    </r>
    <r>
      <rPr>
        <sz val="10"/>
        <color theme="1"/>
        <rFont val="Calibri Light"/>
        <family val="2"/>
        <scheme val="major"/>
      </rPr>
      <t xml:space="preserve">
Define activities (tasks)
Sequence activities, 
Estimate activity resource
Estimate activity schedule
Develop schedule &amp; Schedule Optimization (Critical path)
Control schedule
</t>
    </r>
    <r>
      <rPr>
        <b/>
        <sz val="10"/>
        <color theme="1"/>
        <rFont val="Calibri Light"/>
        <family val="2"/>
        <scheme val="major"/>
      </rPr>
      <t>2. Project Quality Management</t>
    </r>
    <r>
      <rPr>
        <sz val="10"/>
        <color theme="1"/>
        <rFont val="Calibri Light"/>
        <family val="2"/>
        <scheme val="major"/>
      </rPr>
      <t xml:space="preserve">
- Quality Planning (Quality metrics, Audit &amp; Inspection plan, Training &amp; Preventive actions plan)
- Perform Quality Assurance (audit)
- Perform Quality Control using Quality Control Techniques (Run charts, Pareto Charts, Flow charts, Scatter diagram, Cause &amp; Effect Diagram, Control Chart, 5Whys, Inspection)</t>
    </r>
    <r>
      <rPr>
        <b/>
        <sz val="10"/>
        <color theme="1"/>
        <rFont val="Calibri Light"/>
        <family val="2"/>
        <scheme val="major"/>
      </rPr>
      <t xml:space="preserve">
3. Project Risk Management
</t>
    </r>
    <r>
      <rPr>
        <sz val="10"/>
        <color theme="1"/>
        <rFont val="Calibri Light"/>
        <family val="2"/>
        <scheme val="major"/>
      </rPr>
      <t xml:space="preserve">- Develop Risk Management Plan
- Identify risks 
- Analyze risk qualitatively and quantitatively
- Develop risk response plan 
- Risk monitoring and management 
</t>
    </r>
    <r>
      <rPr>
        <b/>
        <sz val="10"/>
        <color theme="1"/>
        <rFont val="Calibri Light"/>
        <family val="2"/>
        <scheme val="major"/>
      </rPr>
      <t>4. Project Human Resource Management</t>
    </r>
    <r>
      <rPr>
        <sz val="10"/>
        <color theme="1"/>
        <rFont val="Calibri Light"/>
        <family val="2"/>
        <scheme val="major"/>
      </rPr>
      <t xml:space="preserve">
'- Understand the ability of each BA to assign appropriate projects/tasks.
- Understand project request for BA service to determine proper resource plan.
- Regularly control BA allocation to optimize resource.
- Monitor and control progress and status of BA involvement in each and every project; detect, resolve and followup to close any issue arising. 
- Evaluate performance, identify strengths as well as improvement points and propose career path for each BA.
</t>
    </r>
    <r>
      <rPr>
        <b/>
        <sz val="10"/>
        <color theme="1"/>
        <rFont val="Calibri Light"/>
        <family val="2"/>
        <scheme val="major"/>
      </rPr>
      <t>5. Project Risk Management</t>
    </r>
    <r>
      <rPr>
        <sz val="10"/>
        <color theme="1"/>
        <rFont val="Calibri Light"/>
        <family val="2"/>
        <scheme val="major"/>
      </rPr>
      <t xml:space="preserve">
'- Understand and utilize process of implementing risk response plans, tracking identified risks, monitoring residual risks, identifying new risks, and evaluating risk process effectiveness throughout the project.
- Forecast risk that may occur in range of project that the team is responsible for.
- Analyze and perform preventitive actions to reduce risks raised by members.
- In the case that risks cannot be closed, raise the risk to leader/mamager and discuss with leader/manger to find out preventitive actions then follow up.
(The risk in Methodology is the risk of business solution. The risk mentioned in this sheet derives from project activities, especially in oursourcing project.)</t>
    </r>
  </si>
  <si>
    <t>- Project Time Management
- Project Human Resource Management
- Project Quality Management
- Project risk Management</t>
  </si>
  <si>
    <t>Elementary Complexity Criteria</t>
  </si>
  <si>
    <t>Plan and estimation for requirement elicitation and documentation. &amp; Monitoring according to plan and define risk during requirement phase in the project.</t>
  </si>
  <si>
    <r>
      <rPr>
        <b/>
        <sz val="9"/>
        <rFont val="Arial"/>
        <family val="2"/>
      </rPr>
      <t>Gather &amp; clarify requirements</t>
    </r>
    <r>
      <rPr>
        <sz val="9"/>
        <rFont val="Arial"/>
        <family val="2"/>
      </rPr>
      <t xml:space="preserve"> </t>
    </r>
    <r>
      <rPr>
        <b/>
        <sz val="9"/>
        <rFont val="Arial"/>
        <family val="2"/>
      </rPr>
      <t xml:space="preserve">from the detailed requirement stakeholders provide using common techniques such as: </t>
    </r>
    <r>
      <rPr>
        <sz val="9"/>
        <rFont val="Arial"/>
        <family val="2"/>
      </rPr>
      <t xml:space="preserve">
+ Document analysis, 
+ Existing system analysis.
+ Research</t>
    </r>
  </si>
  <si>
    <t>Prepare, conduct requirement elicitation workshop &amp; confirm elicitation result with stakeholders.</t>
  </si>
  <si>
    <t xml:space="preserve">Document requirement and design using common technique such as diagram, user story, use case, mock-up… </t>
  </si>
  <si>
    <r>
      <rPr>
        <b/>
        <sz val="9"/>
        <rFont val="Arial"/>
        <family val="2"/>
      </rPr>
      <t>Communicate requirement, including one of the following tasks:</t>
    </r>
    <r>
      <rPr>
        <sz val="9"/>
        <rFont val="Arial"/>
        <family val="2"/>
      </rPr>
      <t xml:space="preserve">
+ Walkthrough and confirm captured requirement and business solution with stakeholders to ensure shared understanding on business analysis information.
+ Transfer requirement to implementation team.</t>
    </r>
  </si>
  <si>
    <r>
      <rPr>
        <b/>
        <sz val="9"/>
        <rFont val="Arial"/>
        <family val="2"/>
      </rPr>
      <t>Trace and maintain the relationship among requirement components, solution components and requirements, including all the following tasks:</t>
    </r>
    <r>
      <rPr>
        <sz val="9"/>
        <rFont val="Arial"/>
        <family val="2"/>
      </rPr>
      <t xml:space="preserve">
+ Trace the relationship between user requirement and system requirement to make sure all requirements will be satisfied.
+ Trace the relationship among requirements themselves so we can conduct impact analysis in case of change.</t>
    </r>
  </si>
  <si>
    <r>
      <rPr>
        <b/>
        <sz val="9"/>
        <rFont val="Arial"/>
        <family val="2"/>
      </rPr>
      <t>Support UAT, including all following tasks:</t>
    </r>
    <r>
      <rPr>
        <sz val="9"/>
        <rFont val="Arial"/>
        <family val="2"/>
      </rPr>
      <t xml:space="preserve">
+ Analyze bugs in requirement perspective (whether it is a bug or a change requirement...)
+ Support team to communicate with customer to troubleshoot on bugs</t>
    </r>
  </si>
  <si>
    <r>
      <rPr>
        <b/>
        <sz val="9"/>
        <rFont val="Arial"/>
        <family val="2"/>
      </rPr>
      <t xml:space="preserve">Assess Requirement Change, </t>
    </r>
    <r>
      <rPr>
        <sz val="9"/>
        <rFont val="Arial"/>
        <family val="2"/>
      </rPr>
      <t>including all following tasks:
+ Verify and analyze impact, value and risk of change requirement.
+ Discuss with stakeholders on the information to reach out for best conclusion.
+ Update changes in other requirement/design impacted from change requirement.</t>
    </r>
  </si>
  <si>
    <t>(If the description does not mention how many items that need to be satisfied then all is needed)</t>
  </si>
  <si>
    <t>General Advanced Complexity Criteria</t>
  </si>
  <si>
    <r>
      <rPr>
        <b/>
        <sz val="9"/>
        <rFont val="Arial"/>
        <family val="2"/>
      </rPr>
      <t xml:space="preserve">Plan BA approach &amp; Information management, </t>
    </r>
    <r>
      <rPr>
        <sz val="9"/>
        <rFont val="Arial"/>
        <family val="2"/>
      </rPr>
      <t>including at least 3 of the following tasks:
+ Define appropriate working model
+ Define deliverables
+ Break down general task and working process
+ Define detail level of information, how information is organized and maintained.</t>
    </r>
  </si>
  <si>
    <r>
      <rPr>
        <b/>
        <sz val="9"/>
        <rFont val="Arial"/>
        <family val="2"/>
      </rPr>
      <t xml:space="preserve">Plan Stakeholder Management: </t>
    </r>
    <r>
      <rPr>
        <sz val="9"/>
        <rFont val="Arial"/>
        <family val="2"/>
      </rPr>
      <t>plan approach for establishing and maintaining working relationship with stakeholders.
+ Analyze stakeholders (roles, attitudes, level of decision making authority, level of power influence…)
+ Define communication need and corresponding communication actions.</t>
    </r>
  </si>
  <si>
    <r>
      <rPr>
        <b/>
        <sz val="9"/>
        <rFont val="Arial"/>
        <family val="2"/>
      </rPr>
      <t>Define requirement architecture</t>
    </r>
    <r>
      <rPr>
        <sz val="9"/>
        <rFont val="Arial"/>
        <family val="2"/>
      </rPr>
      <t>: Define the structure and model in requirement document to achieve the objective of the project.</t>
    </r>
  </si>
  <si>
    <r>
      <t>Verify and validate the quality of requirement and design and make sure they align with business's objective (</t>
    </r>
    <r>
      <rPr>
        <sz val="9"/>
        <rFont val="Arial"/>
        <family val="2"/>
      </rPr>
      <t>Normally it is the task to review requirement and design of other BA in a project to make sure quality.)</t>
    </r>
  </si>
  <si>
    <r>
      <rPr>
        <b/>
        <sz val="9"/>
        <rFont val="Arial"/>
        <family val="2"/>
      </rPr>
      <t>Advanced Solution Evaluation,</t>
    </r>
    <r>
      <rPr>
        <sz val="9"/>
        <rFont val="Arial"/>
        <family val="2"/>
      </rPr>
      <t xml:space="preserve"> including at least 3 of the following tasks:
- Measure solution performance
+ Define performance measurement criteria.
+ Collect data to measure (data of user usage, ...)
- Analyze performance measure: analyze the result of performance measurement to gain insight of issue/opportunity of solution. This will be used as input for next actions.
- Assess solution limitation: identify the limitation of current solution (in business perspective)
- Recommend action (change in flow, change in function) to increase the solution value</t>
    </r>
  </si>
  <si>
    <r>
      <rPr>
        <b/>
        <sz val="9"/>
        <rFont val="Arial"/>
        <family val="2"/>
      </rPr>
      <t>Identify BA performance improvement,</t>
    </r>
    <r>
      <rPr>
        <sz val="9"/>
        <rFont val="Arial"/>
        <family val="2"/>
      </rPr>
      <t xml:space="preserve"> including at least 1 of the following tasks:</t>
    </r>
    <r>
      <rPr>
        <b/>
        <sz val="9"/>
        <rFont val="Arial"/>
        <family val="2"/>
      </rPr>
      <t xml:space="preserve">
</t>
    </r>
    <r>
      <rPr>
        <sz val="9"/>
        <rFont val="Arial"/>
        <family val="2"/>
      </rPr>
      <t>+ Define BA performance measurement, conduct measuring (collect error rate,...)
+ Analyze result and identify improvement in BA activities (build best practices, guideline, checklist...), define preventive actions.</t>
    </r>
  </si>
  <si>
    <t>Consultant Complexity Criteria</t>
  </si>
  <si>
    <r>
      <t>Consult or define the approach and process for requirement phase of project with</t>
    </r>
    <r>
      <rPr>
        <b/>
        <sz val="9"/>
        <color rgb="FFFF0000"/>
        <rFont val="Arial"/>
        <family val="2"/>
      </rPr>
      <t xml:space="preserve"> high complexity (requirement phase size &gt;= 10 MM)</t>
    </r>
  </si>
  <si>
    <t>Strategy analysis for business: analyze the current state, define desired future state and plan for actions to take.</t>
  </si>
  <si>
    <t>Plan and estimation for requirement documentation.</t>
  </si>
  <si>
    <t>Build domain capability for BA team at BU level or above.</t>
  </si>
  <si>
    <t>Management Complexity Criteria</t>
  </si>
  <si>
    <t>Perform team management activities, for example: BA evaluation and project resource allocation</t>
  </si>
  <si>
    <t>Transfer requirement to development team (include both transferring and clarifying requirement during development phase).</t>
  </si>
  <si>
    <t>Measure performance and define improvement for BA team and business analysis activities. (via CAR meeting, measure defect rate, organize sharing, create case study…).</t>
  </si>
  <si>
    <t>Define and maintain BA templates and processes for BA activities in the organization.</t>
  </si>
  <si>
    <t>Perform BA team development activities: recruitment, training, career guidance…</t>
  </si>
  <si>
    <t>Requirement Complexity</t>
  </si>
  <si>
    <t>Simple</t>
  </si>
  <si>
    <t>Requirement of a system with: 
- No workflow (Information Repository system) 
- OR simple workflow (3-step flow or similar step like approval workflow with multiple level, collect feedback flow with multiple reviewers…)</t>
  </si>
  <si>
    <t>Requirement of a system with:
- Medium workflow (more than 3 steps which are not similar)
- OR contain integration with at least 3 systems.</t>
  </si>
  <si>
    <t>Basic Competency</t>
  </si>
  <si>
    <r>
      <rPr>
        <b/>
        <sz val="9"/>
        <rFont val="Arial"/>
        <family val="2"/>
      </rPr>
      <t xml:space="preserve">Have knowledge in documenting detailed requirement in one of following methods:
</t>
    </r>
    <r>
      <rPr>
        <sz val="9"/>
        <rFont val="Arial"/>
        <family val="2"/>
      </rPr>
      <t>- Use Case (Document all requirement and design in a document, includes high level requirement and details for function and screen. When there is change, update the latest requirement in the document itself)
- User Story (Break requirement into User Story (title-description-acceptance criteria) in backlog and drag to each sprint to implement. When there is change, create a new User Story instead updating on the old one)</t>
    </r>
  </si>
  <si>
    <r>
      <t xml:space="preserve">Have knowlegde in gathering requirement in one of following types:
</t>
    </r>
    <r>
      <rPr>
        <sz val="9"/>
        <rFont val="Arial"/>
        <family val="2"/>
      </rPr>
      <t xml:space="preserve">- Collaborative: meeting with stakeholders to gather requirements.
- Reverse Engineering: study old system (reading code, running program…) to capture functional requirement.
- Data Mapping in BI project. </t>
    </r>
  </si>
  <si>
    <r>
      <rPr>
        <b/>
        <sz val="9"/>
        <rFont val="Arial"/>
        <family val="2"/>
      </rPr>
      <t>Have knowledge in requirement process and life cycle for one of the following working models:</t>
    </r>
    <r>
      <rPr>
        <sz val="9"/>
        <rFont val="Arial"/>
        <family val="2"/>
      </rPr>
      <t xml:space="preserve">
- Waterfall
- Agile</t>
    </r>
  </si>
  <si>
    <t>Advanced Competency</t>
  </si>
  <si>
    <r>
      <t xml:space="preserve">Have knowledge in defining requirement by one of following methods:
- </t>
    </r>
    <r>
      <rPr>
        <sz val="9"/>
        <color theme="1"/>
        <rFont val="Arial"/>
        <family val="2"/>
      </rPr>
      <t>Research: involves systematically discovering and studying information from materials or sources that are not directly known by stakeholders involved in the changes. Stakeholders might still participate in research. Research can include analysis of historical data to identify trends or past results. (Like advising features for stakeholders, perform market research to define requirement for a product...)
- Experiments: involves identifying information that could not be known without some sort of controlled test. Some information cannot be drawn from people or documents. Experiments can include observation studies, proof of concept, prototypes.</t>
    </r>
  </si>
  <si>
    <r>
      <t xml:space="preserve">Have knowledge in one domain with following information:
- </t>
    </r>
    <r>
      <rPr>
        <sz val="9"/>
        <color theme="1"/>
        <rFont val="Arial"/>
        <family val="2"/>
      </rPr>
      <t>Understanding on process, product.
- Market drivers
- Market trends and challenges
- Technology Solutions</t>
    </r>
  </si>
  <si>
    <r>
      <t>Have knowledge in one platform/technology such as:</t>
    </r>
    <r>
      <rPr>
        <sz val="9"/>
        <color theme="1"/>
        <rFont val="Arial"/>
        <family val="2"/>
      </rPr>
      <t xml:space="preserve"> SharePoint (for collaboration work), Odoo (for logistics), IoT, etc.</t>
    </r>
  </si>
  <si>
    <t>Level of competency</t>
  </si>
  <si>
    <t>4_Master and contribute to the community (Company, FSU)</t>
  </si>
  <si>
    <t>3_Master and instruct junior work</t>
  </si>
  <si>
    <t>2_Can perform independently or with very little support</t>
  </si>
  <si>
    <t>1_Have knowledge and can perform with support</t>
  </si>
  <si>
    <t>0_No knowledge</t>
  </si>
  <si>
    <t>Expertise sharing Activities</t>
  </si>
  <si>
    <t>□ Instructor at level from BU for at least 5 hours in the last 12 consecutive months</t>
  </si>
  <si>
    <t xml:space="preserve">□ Sharing experience/knowledge in at least 01 workshop or seminar within the company in the last 12 months </t>
  </si>
  <si>
    <t>□ Develop training course/training material for company and is recognized by Training Department</t>
  </si>
  <si>
    <t>□ Submission of an Improvement Proposal and get approved by QA Department</t>
  </si>
  <si>
    <t>□ Activities in professional community such as academic society and committee (Potato Tech Magazine,...)</t>
  </si>
  <si>
    <t>□ Instructor outside the company</t>
  </si>
  <si>
    <t>□ Publication of a paper outside the company</t>
  </si>
  <si>
    <t>□ Filing of a patent application</t>
  </si>
  <si>
    <t>□ Publication of a book</t>
  </si>
  <si>
    <t>Is known as an expert in this field; Able to apply the competency in considerably difficult cases; Can provide the guidance, troubleshoot and answer the questions related to this areas of expertise and fields where the skills are used.
• Focus on strategy;
• Has demonstrated the consistent excellence in applying this competency across multiple projects and/or organizations;
• Is considered the “go to” person in this field within department or organizations;
• Can create new applications and lead the development of reference resources for this competency;
• Able to diagram or explain the process elements and issues related to organizational issues and trends in sufficient details during discussions and presentations, to foster a greater understanding among internal and external colleagues.</t>
  </si>
  <si>
    <t>Be able to perform the duties associated with the competency and skill without any assistances; Able to apply the competency in considerable difficult cases; Would be immediately recognized within organization as "answer specialist / a person to ask" when the difficult questions are arising regarding this skill.
• Focus on broad of the organizational or professional issues;
• Has consistently provided practical/relevant ideas and perspectives on process or practice improvements which may easily be implemented;
• Has ability of coaching the others in the application of this competency by translating complex nuances relating to this competency into easily understand the terms;
• Has participated senior level discussions regarding this competency;
• Has assisted the development of reference resources for this competency.</t>
  </si>
  <si>
    <t>Has ability to implement successfully the duties in the competency if required; Able to apply the competency in difficult cases; Can often perform the skills independently with or without requested help from an expert by time to time.
• Focus on applying for and improving of the knowledge or skill;
• Has applied this competency in situations that occasionally needs minimal guidance to perform them successfully;
• Able to discuss how to apply and the impact of the changes for processes, policies, and procedures in this field.</t>
  </si>
  <si>
    <t>Has a common knowledge or an understanding of basic techniques and theoretical concepts.
• Focus on learning and theory.</t>
  </si>
  <si>
    <t>Merged items of JD_Business Analyst_BA_v0.80.xlsx from F-Career</t>
  </si>
  <si>
    <t>Merge</t>
  </si>
  <si>
    <t xml:space="preserve">Added and Updated Models, JD, JA, Summary and Responsibilities </t>
  </si>
  <si>
    <t>Consulting for Sales/Biding Teams</t>
  </si>
  <si>
    <t>Competency-Based.SBA.JobDescription.FSOFT.v1.0.xlsx</t>
  </si>
  <si>
    <t>HR</t>
  </si>
  <si>
    <t>ROW 17</t>
  </si>
  <si>
    <t>ROW 18</t>
  </si>
  <si>
    <t>ROW 19</t>
  </si>
  <si>
    <t>Business Analysis</t>
  </si>
  <si>
    <t>ROW 20</t>
  </si>
  <si>
    <t>ROW 21</t>
  </si>
  <si>
    <t>ROW 22</t>
  </si>
  <si>
    <t>ROW 23</t>
  </si>
  <si>
    <t>ROW 33</t>
  </si>
  <si>
    <t>ROW 24</t>
  </si>
  <si>
    <t>ROW 25</t>
  </si>
  <si>
    <t>ROW 35
ROW 36</t>
  </si>
  <si>
    <t>ROW 32
ROW 33</t>
  </si>
  <si>
    <t>ROW 27</t>
  </si>
  <si>
    <r>
      <rPr>
        <b/>
        <sz val="8"/>
        <rFont val="Arial"/>
        <family val="2"/>
      </rPr>
      <t>Can be assessed on following knowledge items
Requirement Specification</t>
    </r>
    <r>
      <rPr>
        <sz val="8"/>
        <rFont val="Arial"/>
        <family val="2"/>
      </rPr>
      <t xml:space="preserve">
Documentation of gathered requirement.
</t>
    </r>
    <r>
      <rPr>
        <b/>
        <sz val="8"/>
        <rFont val="Arial"/>
        <family val="2"/>
      </rPr>
      <t xml:space="preserve">Requirement Verification
</t>
    </r>
    <r>
      <rPr>
        <sz val="8"/>
        <rFont val="Arial"/>
        <family val="2"/>
      </rPr>
      <t xml:space="preserve">Verify that the requirement matches what the customer wants.
</t>
    </r>
    <r>
      <rPr>
        <b/>
        <sz val="8"/>
        <rFont val="Arial"/>
        <family val="2"/>
      </rPr>
      <t xml:space="preserve">Requirement Validation
</t>
    </r>
    <r>
      <rPr>
        <sz val="8"/>
        <rFont val="Arial"/>
        <family val="2"/>
      </rPr>
      <t xml:space="preserve">Verify that the requirement will be able to solve business challenges/issues.
</t>
    </r>
    <r>
      <rPr>
        <b/>
        <sz val="8"/>
        <rFont val="Arial"/>
        <family val="2"/>
      </rPr>
      <t xml:space="preserve">Solution Definition &amp; Assessment
</t>
    </r>
    <r>
      <rPr>
        <sz val="8"/>
        <rFont val="Arial"/>
        <family val="2"/>
      </rPr>
      <t xml:space="preserve">Define solutions for business based on challenges &amp; assess their theoretical pros and cons in order to recommend the most suitable solution.
</t>
    </r>
  </si>
  <si>
    <r>
      <rPr>
        <b/>
        <sz val="8"/>
        <rFont val="Arial"/>
        <family val="2"/>
      </rPr>
      <t>Can be assessed on following knowledge items</t>
    </r>
    <r>
      <rPr>
        <b/>
        <sz val="8"/>
        <rFont val="Arial"/>
        <family val="2"/>
      </rPr>
      <t xml:space="preserve">
Plan Business Analysis Approach
</t>
    </r>
    <r>
      <rPr>
        <sz val="8"/>
        <rFont val="Arial"/>
        <family val="2"/>
      </rPr>
      <t xml:space="preserve">- Define methodology: Agile or Waterfall.
- Define deliverables.
- Define activities &amp; tasks 
</t>
    </r>
    <r>
      <rPr>
        <b/>
        <sz val="8"/>
        <rFont val="Arial"/>
        <family val="2"/>
      </rPr>
      <t xml:space="preserve">Plan Stakeholders Engagement
</t>
    </r>
    <r>
      <rPr>
        <sz val="8"/>
        <rFont val="Arial"/>
        <family val="2"/>
      </rPr>
      <t xml:space="preserve">- Identify relevant stakeholders.
- Define required input for each stakeholders.
- Define desired output from each stakeholders.
- Define collaboration method.
</t>
    </r>
    <r>
      <rPr>
        <b/>
        <sz val="8"/>
        <rFont val="Arial"/>
        <family val="2"/>
      </rPr>
      <t xml:space="preserve">Plan Business Analysis Governance
</t>
    </r>
    <r>
      <rPr>
        <sz val="8"/>
        <rFont val="Arial"/>
        <family val="2"/>
      </rPr>
      <t xml:space="preserve">- Define criteria for dividing business into components.
- Define criteria for consistent decision making during requirement planning phase, including: roles &amp; responsibilities in each requirement processes; process of change proposition, analysis and approval.
</t>
    </r>
    <r>
      <rPr>
        <b/>
        <sz val="8"/>
        <rFont val="Arial"/>
        <family val="2"/>
      </rPr>
      <t xml:space="preserve">Plan Business Analysis Information Management
</t>
    </r>
    <r>
      <rPr>
        <sz val="8"/>
        <rFont val="Arial"/>
        <family val="2"/>
      </rPr>
      <t xml:space="preserve">- Define method of capturing information.
- Define information storage method + process to utilize stored information.
</t>
    </r>
    <r>
      <rPr>
        <b/>
        <sz val="8"/>
        <rFont val="Arial"/>
        <family val="2"/>
      </rPr>
      <t xml:space="preserve">Identify Business Analysis Performance Improvement
</t>
    </r>
    <r>
      <rPr>
        <sz val="8"/>
        <rFont val="Arial"/>
        <family val="2"/>
      </rPr>
      <t>- Measure quality of performance for business analysis activities.
- Analyze root cause of negative performance issues.
- Define appropriate adjustment to improve performance based on above result.</t>
    </r>
  </si>
  <si>
    <r>
      <rPr>
        <b/>
        <sz val="8"/>
        <rFont val="Arial"/>
        <family val="2"/>
      </rPr>
      <t>Can be assessed on following knowledge items</t>
    </r>
    <r>
      <rPr>
        <sz val="8"/>
        <rFont val="Arial"/>
        <family val="2"/>
      </rPr>
      <t xml:space="preserve">
</t>
    </r>
    <r>
      <rPr>
        <b/>
        <sz val="8"/>
        <rFont val="Arial"/>
        <family val="2"/>
      </rPr>
      <t xml:space="preserve">Elicitation Preparation
</t>
    </r>
    <r>
      <rPr>
        <sz val="8"/>
        <rFont val="Arial"/>
        <family val="2"/>
      </rPr>
      <t xml:space="preserve">- Study materials (tender, existing system's documentation, etc.)
- Understand elicitation scope.
- Ensure necessary logistics.
- Define meeting agenda &amp; schedule.
</t>
    </r>
    <r>
      <rPr>
        <b/>
        <sz val="8"/>
        <rFont val="Arial"/>
        <family val="2"/>
      </rPr>
      <t xml:space="preserve">Requirement Workshop
</t>
    </r>
    <r>
      <rPr>
        <sz val="8"/>
        <rFont val="Arial"/>
        <family val="2"/>
      </rPr>
      <t xml:space="preserve">- Guide stakeholders during requirement workshops.
- Capture requirement elicited during workshop.
</t>
    </r>
    <r>
      <rPr>
        <b/>
        <sz val="8"/>
        <rFont val="Arial"/>
        <family val="2"/>
      </rPr>
      <t xml:space="preserve">Requirement Transfer &amp; Confirmation
</t>
    </r>
    <r>
      <rPr>
        <sz val="8"/>
        <rFont val="Arial"/>
        <family val="2"/>
      </rPr>
      <t xml:space="preserve">- Transfer requirement document to customer &amp; confirm requirement's completeness.
- Acquire confirmation that requirement captured is accurate.
</t>
    </r>
    <r>
      <rPr>
        <b/>
        <sz val="8"/>
        <rFont val="Arial"/>
        <family val="2"/>
      </rPr>
      <t xml:space="preserve">Stakeholders Management
</t>
    </r>
    <r>
      <rPr>
        <sz val="8"/>
        <rFont val="Arial"/>
        <family val="2"/>
      </rPr>
      <t>- Transfer requirement to other stakeholders.
- Communicate with stakeholders to clarify requirements for/with them.
Work with stakeholders &amp; manage their expectations of both the product and project deliverables.</t>
    </r>
  </si>
  <si>
    <r>
      <rPr>
        <b/>
        <sz val="8"/>
        <rFont val="Arial"/>
        <family val="2"/>
      </rPr>
      <t>Can be assessed on following knowledge items
Process Understanding</t>
    </r>
    <r>
      <rPr>
        <sz val="8"/>
        <rFont val="Arial"/>
        <family val="2"/>
      </rPr>
      <t xml:space="preserve">
Understanding on the operation flow (common steps, advanced steps, actor in each step, best practices in operation) in the domain.
</t>
    </r>
    <r>
      <rPr>
        <b/>
        <sz val="8"/>
        <rFont val="Arial"/>
        <family val="2"/>
      </rPr>
      <t xml:space="preserve">Product Understanding
</t>
    </r>
    <r>
      <rPr>
        <sz val="8"/>
        <rFont val="Arial"/>
        <family val="2"/>
      </rPr>
      <t xml:space="preserve">Understanding on the product/service provided in that domain.:
- List of product/service and features of each. 
- Comparing pros and cons among products/services.
- Customer segmentation each product/service aiming to serve.
</t>
    </r>
    <r>
      <rPr>
        <b/>
        <sz val="8"/>
        <rFont val="Arial"/>
        <family val="2"/>
      </rPr>
      <t xml:space="preserve">Market trends &amp; Challenges
</t>
    </r>
    <r>
      <rPr>
        <sz val="8"/>
        <rFont val="Arial"/>
        <family val="2"/>
      </rPr>
      <t xml:space="preserve">Understanding:
- the trends in market (operation and technology) in that domain.
- the challenges 
</t>
    </r>
    <r>
      <rPr>
        <b/>
        <sz val="8"/>
        <rFont val="Arial"/>
        <family val="2"/>
      </rPr>
      <t xml:space="preserve">Market drivers
</t>
    </r>
    <r>
      <rPr>
        <sz val="8"/>
        <rFont val="Arial"/>
        <family val="2"/>
      </rPr>
      <t xml:space="preserve">The drivers that impact the growth of the business like: weather, labor, related industries and how they impact the business.
</t>
    </r>
    <r>
      <rPr>
        <b/>
        <sz val="8"/>
        <rFont val="Arial"/>
        <family val="2"/>
      </rPr>
      <t xml:space="preserve">Customer Segmentation Understanding
</t>
    </r>
    <r>
      <rPr>
        <sz val="8"/>
        <rFont val="Arial"/>
        <family val="2"/>
      </rPr>
      <t xml:space="preserve">Understanding the customer segmentation in the domain:
- Features of each segment
- Impact from segmentation to operation of the business.
- Identify competitors in the same segmentation of the business.
</t>
    </r>
  </si>
  <si>
    <r>
      <rPr>
        <b/>
        <sz val="8"/>
        <rFont val="Arial"/>
        <family val="2"/>
      </rPr>
      <t>Can be assessed on following knowledge items</t>
    </r>
    <r>
      <rPr>
        <sz val="8"/>
        <rFont val="Arial"/>
        <family val="2"/>
      </rPr>
      <t xml:space="preserve">
</t>
    </r>
    <r>
      <rPr>
        <b/>
        <sz val="8"/>
        <rFont val="Arial"/>
        <family val="2"/>
      </rPr>
      <t xml:space="preserve">Current State Analysis
</t>
    </r>
    <r>
      <rPr>
        <sz val="8"/>
        <rFont val="Arial"/>
        <family val="2"/>
      </rPr>
      <t xml:space="preserve">- Understand business needs, issues and challenges.
- Understand current enterprise &amp; market context
</t>
    </r>
    <r>
      <rPr>
        <b/>
        <sz val="8"/>
        <rFont val="Arial"/>
        <family val="2"/>
      </rPr>
      <t xml:space="preserve">Future State Analysis
</t>
    </r>
    <r>
      <rPr>
        <sz val="8"/>
        <rFont val="Arial"/>
        <family val="2"/>
      </rPr>
      <t xml:space="preserve">- Define goals &amp; objectives within planned future state.
- Identify parts of the enterprise that will be part of the scope of change based on above defined future state.
- Define constraints that will limit possible future states, or some of its aspects.
</t>
    </r>
    <r>
      <rPr>
        <b/>
        <sz val="8"/>
        <rFont val="Arial"/>
        <family val="2"/>
      </rPr>
      <t xml:space="preserve">Risk Analysis
</t>
    </r>
    <r>
      <rPr>
        <sz val="8"/>
        <rFont val="Arial"/>
        <family val="2"/>
      </rPr>
      <t xml:space="preserve">Evaluate likelihood and impact of each possible change.
- Probability of risk happening
- Constraints, assumptions and dependencies associated with the risk in question
- Impact level of risk
- Business' level of tolerance for risk in question
Recommend solutions and/or adaptation that will "optimize" future state according to the risk analyzed.
</t>
    </r>
    <r>
      <rPr>
        <b/>
        <sz val="8"/>
        <rFont val="Arial"/>
        <family val="2"/>
      </rPr>
      <t xml:space="preserve">Define Change Strategy
</t>
    </r>
    <r>
      <rPr>
        <sz val="8"/>
        <rFont val="Arial"/>
        <family val="2"/>
      </rPr>
      <t xml:space="preserve">- Gap analysis between current and planned future state.
- Define possible options to enable planned future state.
- Evaluate &amp; define optimal solution based on above results.
</t>
    </r>
  </si>
  <si>
    <r>
      <rPr>
        <b/>
        <sz val="8"/>
        <rFont val="Arial"/>
        <family val="2"/>
      </rPr>
      <t>Can be assessed on following knowledge items</t>
    </r>
    <r>
      <rPr>
        <sz val="8"/>
        <rFont val="Arial"/>
        <family val="2"/>
      </rPr>
      <t xml:space="preserve">
</t>
    </r>
    <r>
      <rPr>
        <b/>
        <sz val="8"/>
        <rFont val="Arial"/>
        <family val="2"/>
      </rPr>
      <t xml:space="preserve">Measure Solution Performance
</t>
    </r>
    <r>
      <rPr>
        <sz val="8"/>
        <rFont val="Arial"/>
        <family val="2"/>
      </rPr>
      <t xml:space="preserve">- Define method(s) to measure "performance" of business after implementation of solution based on suitable metrics.
- Collect data based on defined method(s).
</t>
    </r>
    <r>
      <rPr>
        <b/>
        <sz val="8"/>
        <rFont val="Arial"/>
        <family val="2"/>
      </rPr>
      <t xml:space="preserve">Analyze Performance Measured
</t>
    </r>
    <r>
      <rPr>
        <sz val="8"/>
        <rFont val="Arial"/>
        <family val="2"/>
      </rPr>
      <t xml:space="preserve">- Analyze business value of solution.
- Identify value vs performance metrics, including possible risks, trends that may affect the accuracy or meaningfulness of measured results.
</t>
    </r>
    <r>
      <rPr>
        <b/>
        <sz val="8"/>
        <rFont val="Arial"/>
        <family val="2"/>
      </rPr>
      <t xml:space="preserve">Assess Solution Limitations
</t>
    </r>
    <r>
      <rPr>
        <sz val="8"/>
        <rFont val="Arial"/>
        <family val="2"/>
      </rPr>
      <t xml:space="preserve">- Identify limitations of current solutions.
- Define impacts of said limitations.
</t>
    </r>
    <r>
      <rPr>
        <b/>
        <sz val="8"/>
        <rFont val="Arial"/>
        <family val="2"/>
      </rPr>
      <t xml:space="preserve">Assess Enterprise Limitations
</t>
    </r>
    <r>
      <rPr>
        <sz val="8"/>
        <rFont val="Arial"/>
        <family val="2"/>
      </rPr>
      <t xml:space="preserve">Investigate the following factors and define whether they will be compatible with the solution:
- Enterprise Culture
- Impacted Stakeholders
- Organizational Structure changes
- Compatibility with Current Operation Process
</t>
    </r>
    <r>
      <rPr>
        <b/>
        <sz val="8"/>
        <rFont val="Arial"/>
        <family val="2"/>
      </rPr>
      <t xml:space="preserve">Recommend Actions to Increase Solution's Value
</t>
    </r>
    <r>
      <rPr>
        <sz val="8"/>
        <rFont val="Arial"/>
        <family val="2"/>
      </rPr>
      <t>Propose suitable adjustment or revamp of the current solution.</t>
    </r>
  </si>
  <si>
    <r>
      <rPr>
        <b/>
        <sz val="8"/>
        <rFont val="Arial"/>
        <family val="2"/>
      </rPr>
      <t>Can be assessed on following knowledge items
Software Architecture</t>
    </r>
    <r>
      <rPr>
        <sz val="8"/>
        <rFont val="Arial"/>
        <family val="2"/>
      </rPr>
      <t xml:space="preserve">
- Basic Understanding about main components in a system (server, database, active directory, message broker, front end, API...)
- Basic Interaction among components</t>
    </r>
    <r>
      <rPr>
        <b/>
        <sz val="8"/>
        <rFont val="Arial"/>
        <family val="2"/>
      </rPr>
      <t xml:space="preserve">
Database</t>
    </r>
    <r>
      <rPr>
        <sz val="8"/>
        <rFont val="Arial"/>
        <family val="2"/>
      </rPr>
      <t xml:space="preserve">
- Main types of database (structure vs unstructure, in memory database)
- Attributes, data type
- Relation among records</t>
    </r>
  </si>
  <si>
    <t>Tools</t>
  </si>
  <si>
    <t>Software Design</t>
  </si>
  <si>
    <t>Knowledge</t>
  </si>
  <si>
    <t>02. Models
04. Job Descriptions</t>
  </si>
  <si>
    <t>Items in old Framework are migrated to</t>
  </si>
  <si>
    <t>Business Analysis Tools</t>
  </si>
  <si>
    <t>Business Analysis and Software Design Tools</t>
  </si>
  <si>
    <t>Competency-Based.SBA.JobDescription.FSOFT.v1.2.xlsx</t>
  </si>
  <si>
    <t>Competency-Based.SBA.JobDescription.FSOFT.v1.1.xlsx</t>
  </si>
  <si>
    <t>Changed levels of English / Japanese according policy of FSOFT 2022</t>
  </si>
  <si>
    <t>TOEIC &gt;901, TOELF iBT 96-120, IELTS 8.6-9.0, CEFR C2, JP N1 or equivalent</t>
  </si>
  <si>
    <t>TOEIC 801-900, TOELF iBT 81-95, IELTS 7.6-8.5, CEFR C1, JP N2 or equivalent</t>
  </si>
  <si>
    <t>TOEIC 701-800, TOELF iBT 71-80, IELTS 6.6-7.5, CEFR B2+, JP N3+ or equivalent</t>
  </si>
  <si>
    <t>TOEIC 601-700, TOELF iBT 61-70, IELTS 5.6-6.5, CEFR B2, JP N3 or equivalent</t>
  </si>
  <si>
    <t>TOEIC 501-600, TOELF iBT 51-60, IELTS 4.6-5.5, CEFR B1+, JP N4+ or equivalent</t>
  </si>
  <si>
    <t>TOEIC 451-500, TOELF iBT 42-50, IELTS 4.0-4.5, CEFR B1, JP N4 or equivalent</t>
  </si>
  <si>
    <t>2: TOEIC 451-500, TOELF iBT 42-50, IELTS 4.0-4.5, CEFR B1, JP N4 or equivalent</t>
  </si>
  <si>
    <t>3: TOEIC 501-600, TOELF iBT 51-60, IELTS 4.6-5.5, CEFR B1+, JP N4+ or equivalent</t>
  </si>
  <si>
    <t>4: TOEIC 601-700, TOELF iBT 61-70, IELTS 5.6-6.5, CEFR B2, JP N3 or equivalent</t>
  </si>
  <si>
    <t>5: TOEIC 701-800, TOELF iBT 71-80, IELTS 6.6-7.5, CEFR B2+, JP N3+ or equivalent</t>
  </si>
  <si>
    <t>- Business Analysis Tools
- UI/UX Design Tools
- Architecture Design Tools
- Communication Tools</t>
  </si>
  <si>
    <t>Software Business Analyst Role - Job Description</t>
  </si>
  <si>
    <t>Software Business Analyst Role</t>
  </si>
  <si>
    <t>TOEIC &lt;=450, TOELF iBT &lt;=41, IELTS 3.5-3.9, CEFR A2, JP N5 or equivalent</t>
  </si>
  <si>
    <t>Software Business Analyst Role - Job Assessment</t>
  </si>
  <si>
    <t>Software Business Analyst 1</t>
  </si>
  <si>
    <t>Software Business Analyst 2</t>
  </si>
  <si>
    <t>Software Business Analyst 3</t>
  </si>
  <si>
    <t>Software Business Analysis Leader 4</t>
  </si>
  <si>
    <t>Software Business Analysis Consultant 4</t>
  </si>
  <si>
    <t>Software Business Analyst 5</t>
  </si>
  <si>
    <t>Software Business Analyst 6</t>
  </si>
  <si>
    <t>Job Assessment =&gt; Refer to sheet 05. Job Rankings</t>
  </si>
  <si>
    <t>Software Business Analyst Role - Job Interview</t>
  </si>
  <si>
    <t>Explanation of Interview Items</t>
  </si>
  <si>
    <t>FSOFTER is required to have the role and responsibility to perform one or more of the following tasks</t>
  </si>
  <si>
    <t>FSOFTER is required to have one or more of the following professional experiences and project contributions</t>
  </si>
  <si>
    <t>FSOFTER is required to have one or more of the following specialized skills to perform assigned tasks</t>
  </si>
  <si>
    <t>Professional Business Analysis Skills</t>
  </si>
  <si>
    <t>FSOFTER may have one or more of the following Foreign Language/Technical qualifications to perform assigned tasks</t>
  </si>
  <si>
    <t>FSOFTER is required to have one or more of the following soft skills and other skills to perform assigned tasks</t>
  </si>
  <si>
    <t>Interview Items</t>
  </si>
  <si>
    <t>Required Competency Level for an expected Candidate</t>
  </si>
  <si>
    <r>
      <t xml:space="preserve">CHOOSE LEVEL / RANK </t>
    </r>
    <r>
      <rPr>
        <b/>
        <sz val="12"/>
        <color theme="1"/>
        <rFont val="Wingdings"/>
        <charset val="2"/>
      </rPr>
      <t>Ú</t>
    </r>
    <r>
      <rPr>
        <b/>
        <sz val="12"/>
        <color theme="1"/>
        <rFont val="Calibri Light"/>
        <family val="2"/>
        <scheme val="major"/>
      </rPr>
      <t xml:space="preserve"> TO BE HIRED</t>
    </r>
  </si>
  <si>
    <r>
      <t xml:space="preserve">CHOOSE Competency Level for each evaluation criteria </t>
    </r>
    <r>
      <rPr>
        <b/>
        <sz val="10"/>
        <color theme="1"/>
        <rFont val="Wingdings"/>
        <charset val="2"/>
      </rPr>
      <t>Ú</t>
    </r>
  </si>
  <si>
    <r>
      <t xml:space="preserve">ADD remarks or evidences for each evaluation </t>
    </r>
    <r>
      <rPr>
        <b/>
        <sz val="10"/>
        <color theme="1"/>
        <rFont val="Wingdings"/>
        <charset val="2"/>
      </rPr>
      <t>Ú</t>
    </r>
  </si>
  <si>
    <t>CANDIDATE RESULTS INTERVIEWED BY INTERVIEWER</t>
  </si>
  <si>
    <t>CANDIDATE is required to have one or more of the following professional experiences and project contributions</t>
  </si>
  <si>
    <t>CANDIDATE is required to have one or more of the following specialized skills to perform assigned tasks</t>
  </si>
  <si>
    <t>CANDIDATE may have one or more of the following Foreign Language/Technical qualifications to perform assigned tasks</t>
  </si>
  <si>
    <t>CANDIDATE is required to have one or more of the following soft skills and other skills to perform assigned tasks</t>
  </si>
  <si>
    <t>ACTIONS TO IMPROVE CANDIDATE'S RANK</t>
  </si>
  <si>
    <t>Action to improve rankings</t>
  </si>
  <si>
    <t>BUY-IN
Weighted %</t>
  </si>
  <si>
    <t>JOB INTERVIEW:</t>
  </si>
  <si>
    <t>Competency-Based.SBA.JobDescription.FSOFT.v1.3.xlsx</t>
  </si>
  <si>
    <t>Translated header text of cell: E5, E9, E16, E26, E31 to English in "04. Job Descriptions"
Added new sheet "07. Job Interview" and use BUY-IN % in "02. Models" for Interview activity
Added new sheet "09. Career Development" for Reskilling &amp; Upskilling</t>
  </si>
  <si>
    <t>Fundamentals of Business Analysis</t>
  </si>
  <si>
    <t>Get the foundation in business analysis you need to solve your organization's biggest problems.</t>
  </si>
  <si>
    <t>121 of 121 items</t>
  </si>
  <si>
    <t>6hr 4min</t>
  </si>
  <si>
    <t>Agile Business Analysis</t>
  </si>
  <si>
    <t>Developing the analysis maturity and confidence you need... to deliver products in an agile way...</t>
  </si>
  <si>
    <t>33 of 33 items</t>
  </si>
  <si>
    <t>1hr 35min</t>
  </si>
  <si>
    <t>Business Analysis: Developing Irresistible Business Cases</t>
  </si>
  <si>
    <t>Building the business acumen you need to promote your projects to management</t>
  </si>
  <si>
    <t>24 of 24 items</t>
  </si>
  <si>
    <t>2hr 8min</t>
  </si>
  <si>
    <t>Business Analysis:  Working with Use Cases</t>
  </si>
  <si>
    <t>An introductory course on use case modeling for Business Analysts or those looking to transition into a BA role.</t>
  </si>
  <si>
    <t>2hr 6min</t>
  </si>
  <si>
    <t>Business Analysis: Functional &amp; Non-Functional Requirements</t>
  </si>
  <si>
    <t>Simple Requirements Decomposition / Drill-Down Techniques for Defining Product Behaviors and Qualities</t>
  </si>
  <si>
    <t>19 of 19 items</t>
  </si>
  <si>
    <t>56min</t>
  </si>
  <si>
    <t>Business Analysis: Data Flow Diagrams to Visualize Workflows</t>
  </si>
  <si>
    <t>Process Modeling Techniques for Requirements Elicitation and Workflow Analysis</t>
  </si>
  <si>
    <t>30 of 30 items</t>
  </si>
  <si>
    <t>2hr 28min</t>
  </si>
  <si>
    <t>Strategy for Management Consultants &amp; Business Analysts</t>
  </si>
  <si>
    <t>Top advices from consulting practice with examples and case studies</t>
  </si>
  <si>
    <t>137 of 137 items</t>
  </si>
  <si>
    <t>6hr 18min</t>
  </si>
  <si>
    <t>POSTMAN API Testing - Step by Step for Beginners</t>
  </si>
  <si>
    <t>learn POSTMAN Step by Step from scratch with real world examples</t>
  </si>
  <si>
    <t>39 of 39 items</t>
  </si>
  <si>
    <t>4hr 50min</t>
  </si>
  <si>
    <t>Full Business Analysis Study Guide (CCBA®/CBAP® endorsed)</t>
  </si>
  <si>
    <t>Sharpen your BA skills for a better career and get prepared for a CBAP® or CCBA® exam!</t>
  </si>
  <si>
    <t>110 of 110 items</t>
  </si>
  <si>
    <t>5hr 35min</t>
  </si>
  <si>
    <t>Business Analyst: Project Management Techniques and Tools</t>
  </si>
  <si>
    <t>Learn project management techniques to increase your project success rate as a Business Analyst!</t>
  </si>
  <si>
    <t>53 of 53 items</t>
  </si>
  <si>
    <t>5hr 13min</t>
  </si>
  <si>
    <t>Course Title</t>
  </si>
  <si>
    <t>Course URL</t>
  </si>
  <si>
    <t>Course Description</t>
  </si>
  <si>
    <t>Time</t>
  </si>
  <si>
    <t>Lessons</t>
  </si>
  <si>
    <t>No</t>
  </si>
  <si>
    <t>https://fpt-software.udemy.com/course/businessanalysis/learn/lecture/6916848</t>
  </si>
  <si>
    <t>https://fpt-software.udemy.com/course/agile-business-analysis/learn/lecture/8003724</t>
  </si>
  <si>
    <t>https://fpt-software.udemy.com/course/business-cases/learn/lecture/8565686</t>
  </si>
  <si>
    <t>https://fpt-software.udemy.com/course/usecases/learn/lecture/10171542</t>
  </si>
  <si>
    <t>https://fpt-software.udemy.com/course/identify-functional-and-non-functional-requirements/learn/lecture/1608010</t>
  </si>
  <si>
    <t>https://fpt-software.udemy.com/course/project-management-for-business-analyst/learn/lecture/5454838</t>
  </si>
  <si>
    <t>https://fpt-software.udemy.com/course/strategy-for-management-consultants-business-analysts/learn/lecture/10178254</t>
  </si>
  <si>
    <t>https://fpt-software.udemy.com/course/postman-api-testing-step-by-step-for-beginners/learn/lecture/23643176</t>
  </si>
  <si>
    <t>https://fpt-software.udemy.com/course/business-analysis-study-guide/learn/lecture/15304154</t>
  </si>
  <si>
    <t>Courses for Reskilling &amp; Upskilling</t>
  </si>
  <si>
    <t>Source</t>
  </si>
  <si>
    <t>Udemy</t>
  </si>
  <si>
    <t>Definitions and Parameters =&gt; Refer to sheet 08. Definitions</t>
  </si>
  <si>
    <t>Competency-Based.SBA.JobDescription.FSOFT.v1.4.xlsx</t>
  </si>
  <si>
    <t>22-09-2022</t>
  </si>
  <si>
    <t>Updated</t>
  </si>
  <si>
    <t>BANE01</t>
  </si>
  <si>
    <t>BANE02</t>
  </si>
  <si>
    <t>BANE03</t>
  </si>
  <si>
    <t>BANE04</t>
  </si>
  <si>
    <t>BANE05</t>
  </si>
  <si>
    <t>BANE06</t>
  </si>
  <si>
    <t>BA</t>
  </si>
  <si>
    <t>Senior Business Analysis Consultant / Leader</t>
  </si>
  <si>
    <t>Principal Business Analysis Consultant / Leader</t>
  </si>
  <si>
    <t>Hide sheets of "10. Job Interview" "09. Career Development"
Corrected job code from "SBA" to "BANE"
Increased Industry Experiences from 2% to 10%</t>
  </si>
  <si>
    <t>Reference: SEFIX Model</t>
  </si>
  <si>
    <t>Competency-Based.SBA.JobDescription.FSOFT.v1.5.xlsx</t>
  </si>
  <si>
    <t>ChiNTT</t>
  </si>
  <si>
    <t>Corrected the formula of cell E3 from =IF('06. Assessment Summary'!S29&gt;0,"Not Satisfied RANK","Satisfied RANK") to =IF(G3&lt;'06. Assessment Summary'!R5,"Not Qualified RANK","Qualified RANK") in sheet "05. Job Rankings"</t>
  </si>
  <si>
    <t>Competency-Based.SBA.JobDescription.FSOFT.v1.6.xlsx</t>
  </si>
  <si>
    <t>JOB</t>
  </si>
  <si>
    <t>SOFTWARE BUSINESS ANALYST</t>
  </si>
  <si>
    <t>Record of Change</t>
  </si>
  <si>
    <t>TABLE OF CONTENT</t>
  </si>
  <si>
    <t>Guidelines</t>
  </si>
  <si>
    <t>Click here</t>
  </si>
  <si>
    <t>Models</t>
  </si>
  <si>
    <t>Career Paths</t>
  </si>
  <si>
    <t>Job Descriptions</t>
  </si>
  <si>
    <t>Job Rankings</t>
  </si>
  <si>
    <t>Assessment Summary</t>
  </si>
  <si>
    <t>Definitions</t>
  </si>
  <si>
    <t>Records of Change</t>
  </si>
  <si>
    <t>[Name] - [Account]</t>
  </si>
  <si>
    <t>CANDIDATE'S SELF-RANKED RESULTS
SCORED BY MANAGER / LEADER / HOD</t>
  </si>
  <si>
    <t>BONUS POINTS  total &lt;= 5 for whole items</t>
  </si>
  <si>
    <t>BONUS Points</t>
  </si>
  <si>
    <t xml:space="preserve">BONUS Descriptions </t>
  </si>
  <si>
    <t>Gaps</t>
  </si>
  <si>
    <t>Competency-Based.SBA.JobDescription.FSOFT.v1.7.xlsx</t>
  </si>
  <si>
    <t xml:space="preserve">Has the level of experience in classroom, scenario of experiment or as a trainee on-the-job; Can apply the competency in the simplest cases; Can getting support when implementation of these skills if needed.
• Focus on the development through on-the-job experience;
• Able to discuss terminologies, concepts, principles, and relevant issues;
• Use the full range of reference resources in this competency.
</t>
  </si>
  <si>
    <t>Create (BANE04)</t>
  </si>
  <si>
    <t>4: Create (BANE04)</t>
  </si>
  <si>
    <t/>
  </si>
  <si>
    <r>
      <t xml:space="preserve">Implementing all the processes and activities related to business analysis which can be analyzing and designing functional and non-functional requirements to the development, client or production environment, including but not limited to following responsibilities:
 </t>
    </r>
    <r>
      <rPr>
        <b/>
        <sz val="9"/>
        <color theme="1"/>
        <rFont val="Calibri Light"/>
        <family val="2"/>
        <scheme val="major"/>
      </rPr>
      <t xml:space="preserve">BANE01:
   - </t>
    </r>
    <r>
      <rPr>
        <sz val="9"/>
        <color theme="1"/>
        <rFont val="Calibri Light"/>
        <family val="2"/>
        <scheme val="major"/>
      </rPr>
      <t xml:space="preserve">Has responsibility for documenting requirement, supporting communicate requirement to stakeholders (under guidance) as role BA member. 
    - Project Diversity and Complexity - </t>
    </r>
    <r>
      <rPr>
        <b/>
        <sz val="9"/>
        <color theme="1"/>
        <rFont val="Calibri Light"/>
        <family val="2"/>
        <scheme val="major"/>
      </rPr>
      <t>Low:</t>
    </r>
    <r>
      <rPr>
        <sz val="9"/>
        <color theme="1"/>
        <rFont val="Calibri Light"/>
        <family val="2"/>
        <scheme val="major"/>
      </rPr>
      <t xml:space="preserve"> &gt;=5 items in Elementary Complexity Criteria
 </t>
    </r>
    <r>
      <rPr>
        <b/>
        <sz val="9"/>
        <color theme="1"/>
        <rFont val="Calibri Light"/>
        <family val="2"/>
        <scheme val="major"/>
      </rPr>
      <t>BANE02:</t>
    </r>
    <r>
      <rPr>
        <sz val="9"/>
        <color theme="1"/>
        <rFont val="Calibri Light"/>
        <family val="2"/>
        <scheme val="major"/>
      </rPr>
      <t xml:space="preserve"> 
    - Has responsibility for gathering requirement, elaborating and validating gathered requirement as role BA member.
    - Project Diversity and Complexity - </t>
    </r>
    <r>
      <rPr>
        <b/>
        <sz val="9"/>
        <color theme="1"/>
        <rFont val="Calibri Light"/>
        <family val="2"/>
        <scheme val="major"/>
      </rPr>
      <t>Normal:</t>
    </r>
    <r>
      <rPr>
        <sz val="9"/>
        <color theme="1"/>
        <rFont val="Calibri Light"/>
        <family val="2"/>
        <scheme val="major"/>
      </rPr>
      <t xml:space="preserve"> All items of Elementary Complexity Criteria &amp;  &gt;= 1 item in General Advanced Complexity Criteria
 </t>
    </r>
    <r>
      <rPr>
        <b/>
        <sz val="9"/>
        <color theme="1"/>
        <rFont val="Calibri Light"/>
        <family val="2"/>
        <scheme val="major"/>
      </rPr>
      <t>BANE03:</t>
    </r>
    <r>
      <rPr>
        <sz val="9"/>
        <color theme="1"/>
        <rFont val="Calibri Light"/>
        <family val="2"/>
        <scheme val="major"/>
      </rPr>
      <t xml:space="preserve"> 
    - Has responsibility for designing, analyzing and evaluating business solution to ensure that it aligns with the project's goal as role  BA member.
    - Project Diversity and Complexity - </t>
    </r>
    <r>
      <rPr>
        <b/>
        <sz val="9"/>
        <color theme="1"/>
        <rFont val="Calibri Light"/>
        <family val="2"/>
        <scheme val="major"/>
      </rPr>
      <t>Medium:</t>
    </r>
    <r>
      <rPr>
        <sz val="9"/>
        <color theme="1"/>
        <rFont val="Calibri Light"/>
        <family val="2"/>
        <scheme val="major"/>
      </rPr>
      <t xml:space="preserve"> &gt;= 4 items of General Advanced Complexity Criteria &amp;  &gt;= 2 items of Management Complexity Criteria
      OR &gt;= 4 items of General Advanced Complexity Criteria &amp; &gt;=1 item in Consultant Complexity Criteria
 </t>
    </r>
    <r>
      <rPr>
        <b/>
        <sz val="9"/>
        <color theme="1"/>
        <rFont val="Calibri Light"/>
        <family val="2"/>
        <scheme val="major"/>
      </rPr>
      <t>BANE04:</t>
    </r>
    <r>
      <rPr>
        <sz val="9"/>
        <color theme="1"/>
        <rFont val="Calibri Light"/>
        <family val="2"/>
        <scheme val="major"/>
      </rPr>
      <t xml:space="preserve"> 
    - Has responsibility for defining requirement approach &amp; process, planning and monitoring business analysis activities as role BA consultant. 
    - Project Diversity and Complexity - </t>
    </r>
    <r>
      <rPr>
        <b/>
        <sz val="9"/>
        <color theme="1"/>
        <rFont val="Calibri Light"/>
        <family val="2"/>
        <scheme val="major"/>
      </rPr>
      <t>Complex:</t>
    </r>
    <r>
      <rPr>
        <sz val="9"/>
        <color theme="1"/>
        <rFont val="Calibri Light"/>
        <family val="2"/>
        <scheme val="major"/>
      </rPr>
      <t xml:space="preserve"> &gt;= 4 items in General Advanced Complexity Criteria &amp;  All items in Management Complexity Criteria
      OR &gt;= 5 items in General Advanced Complexity Criteria &amp;  &gt;= 2 item of Consultant Complexity Criteria
 </t>
    </r>
    <r>
      <rPr>
        <b/>
        <sz val="9"/>
        <color theme="1"/>
        <rFont val="Calibri Light"/>
        <family val="2"/>
        <scheme val="major"/>
      </rPr>
      <t>BANE05:</t>
    </r>
    <r>
      <rPr>
        <sz val="9"/>
        <color theme="1"/>
        <rFont val="Calibri Light"/>
        <family val="2"/>
        <scheme val="major"/>
      </rPr>
      <t xml:space="preserve"> 
    - Has responsibility for performing system evaluation &amp; enterprise solution consultation as role BA consultant. 
    - Project Diversity and Complexity - </t>
    </r>
    <r>
      <rPr>
        <b/>
        <sz val="9"/>
        <color theme="1"/>
        <rFont val="Calibri Light"/>
        <family val="2"/>
        <scheme val="major"/>
      </rPr>
      <t>Complex:</t>
    </r>
    <r>
      <rPr>
        <sz val="9"/>
        <color theme="1"/>
        <rFont val="Calibri Light"/>
        <family val="2"/>
        <scheme val="major"/>
      </rPr>
      <t xml:space="preserve"> &gt;= 4 items in General Advanced Complexity Criteria &amp;  All items in Management Complexity Criteria
      OR &gt;= 5 items in General Advanced Complexity Criteria &amp;  &gt;= 2 item of Consultant Complexity Criteria
 </t>
    </r>
    <r>
      <rPr>
        <b/>
        <sz val="9"/>
        <color theme="1"/>
        <rFont val="Calibri Light"/>
        <family val="2"/>
        <scheme val="major"/>
      </rPr>
      <t>BANE06:</t>
    </r>
    <r>
      <rPr>
        <sz val="9"/>
        <color theme="1"/>
        <rFont val="Calibri Light"/>
        <family val="2"/>
        <scheme val="major"/>
      </rPr>
      <t xml:space="preserve"> 
   - Has responsibility for performing system evaluation &amp; enterprise solution consultation as role BA consultant.
   - Project Diversity and Complexity - </t>
    </r>
    <r>
      <rPr>
        <b/>
        <sz val="9"/>
        <color theme="1"/>
        <rFont val="Calibri Light"/>
        <family val="2"/>
        <scheme val="major"/>
      </rPr>
      <t>Very Complex</t>
    </r>
    <r>
      <rPr>
        <sz val="9"/>
        <color theme="1"/>
        <rFont val="Calibri Light"/>
        <family val="2"/>
        <scheme val="major"/>
      </rPr>
      <t>: &gt;= 4 items of Advanced Complexity Criteria &amp; All items of Management Complexity Criteria 
      OR All items in General Advanced &amp; All Consultant Complexity Criteria</t>
    </r>
  </si>
  <si>
    <r>
      <t xml:space="preserve">Implementing all the processes and activities related to business analysis which can be analyzing and designing functional and non-functional requirements to the development, client or production environment, including but not limited to following responsibilities:
 </t>
    </r>
    <r>
      <rPr>
        <b/>
        <sz val="10"/>
        <color theme="1"/>
        <rFont val="Calibri"/>
        <family val="2"/>
        <scheme val="minor"/>
      </rPr>
      <t>BANE01:</t>
    </r>
    <r>
      <rPr>
        <sz val="10"/>
        <color theme="1"/>
        <rFont val="Calibri"/>
        <family val="2"/>
        <scheme val="minor"/>
      </rPr>
      <t xml:space="preserve">
   - Has responsibility for documenting requirement, supporting communicate requirement to stakeholders (under guidance) as role BA member. 
    - Project Diversity and Complexity - Low: &gt;=5 items in Elementary Complexity Criteria
 </t>
    </r>
    <r>
      <rPr>
        <b/>
        <sz val="10"/>
        <color theme="1"/>
        <rFont val="Calibri"/>
        <family val="2"/>
        <scheme val="minor"/>
      </rPr>
      <t>BANE02:</t>
    </r>
    <r>
      <rPr>
        <sz val="10"/>
        <color theme="1"/>
        <rFont val="Calibri"/>
        <family val="2"/>
        <scheme val="minor"/>
      </rPr>
      <t xml:space="preserve"> 
    - Has responsibility for gathering requirement, elaborating and validating gathered requirement as role BA member.
    - Project Diversity and Complexity - Normal: All items of Elementary Complexity Criteria &amp;  &gt;= 1 item in General Advanced Complexity Criteria
 </t>
    </r>
    <r>
      <rPr>
        <b/>
        <sz val="10"/>
        <color theme="1"/>
        <rFont val="Calibri"/>
        <family val="2"/>
        <scheme val="minor"/>
      </rPr>
      <t>BANE03:</t>
    </r>
    <r>
      <rPr>
        <sz val="10"/>
        <color theme="1"/>
        <rFont val="Calibri"/>
        <family val="2"/>
        <scheme val="minor"/>
      </rPr>
      <t xml:space="preserve"> 
    - Has responsibility for designing, analyzing and evaluating business solution to ensure that it aligns with the project's goal as role  BA member.
    - Project Diversity and Complexity - Medium: &gt;= 4 items of General Advanced Complexity Criteria &amp;  &gt;= 2 items of Management Complexity Criteria
      OR &gt;= 4 items of General Advanced Complexity Criteria &amp; &gt;=1 item in Consultant Complexity Criteria
 </t>
    </r>
    <r>
      <rPr>
        <b/>
        <sz val="10"/>
        <color theme="1"/>
        <rFont val="Calibri"/>
        <family val="2"/>
        <scheme val="minor"/>
      </rPr>
      <t>BANE04:</t>
    </r>
    <r>
      <rPr>
        <sz val="10"/>
        <color theme="1"/>
        <rFont val="Calibri"/>
        <family val="2"/>
        <scheme val="minor"/>
      </rPr>
      <t xml:space="preserve"> 
    - Has responsibility for defining requirement approach &amp; process, planning and monitoring business analysis activities as role BA consultant. 
    - Project Diversity and Complexity - Complex: &gt;= 4 items in General Advanced Complexity Criteria &amp;  All items in Management Complexity Criteria
      OR &gt;= 5 items in General Advanced Complexity Criteria &amp;  &gt;= 2 item of Consultant Complexity Criteria
 </t>
    </r>
    <r>
      <rPr>
        <b/>
        <sz val="10"/>
        <color theme="1"/>
        <rFont val="Calibri"/>
        <family val="2"/>
        <scheme val="minor"/>
      </rPr>
      <t>BANE05:</t>
    </r>
    <r>
      <rPr>
        <sz val="10"/>
        <color theme="1"/>
        <rFont val="Calibri"/>
        <family val="2"/>
        <scheme val="minor"/>
      </rPr>
      <t xml:space="preserve"> 
    - Has responsibility for performing system evaluation &amp; enterprise solution consultation as role BA consultant. 
    - Project Diversity and Complexity - Complex: &gt;= 4 items in General Advanced Complexity Criteria &amp;  All items in Management Complexity Criteria
      OR &gt;= 5 items in General Advanced Complexity Criteria &amp;  &gt;= 2 item of Consultant Complexity Criteria
 </t>
    </r>
    <r>
      <rPr>
        <b/>
        <sz val="10"/>
        <color theme="1"/>
        <rFont val="Calibri"/>
        <family val="2"/>
        <scheme val="minor"/>
      </rPr>
      <t>BANE06:</t>
    </r>
    <r>
      <rPr>
        <sz val="10"/>
        <color theme="1"/>
        <rFont val="Calibri"/>
        <family val="2"/>
        <scheme val="minor"/>
      </rPr>
      <t xml:space="preserve"> 
   - Has responsibility for performing system evaluation &amp; enterprise solution consultation as role BA consultant.
   - Project Diversity and Complexity - Very Complex: &gt;= 4 items of Advanced Complexity Criteria &amp; All items of Management Complexity Criteria 
      OR All items in General Advanced &amp; All Consultant Complexity Criteria</t>
    </r>
  </si>
  <si>
    <t>Follow (BANE01)</t>
  </si>
  <si>
    <t>Assist (BANE02)</t>
  </si>
  <si>
    <t>Apply (BANE03)</t>
  </si>
  <si>
    <t>1: Follow (BANE01)</t>
  </si>
  <si>
    <t>2: Assist (BANE02)</t>
  </si>
  <si>
    <t>3: Apply (BANE03)</t>
  </si>
  <si>
    <t>Team Size To Lead for BA Leader</t>
  </si>
  <si>
    <t>Number of years working as Business Analyst, Software Business Analyst, Software Development Life Cycle, Team Work, Agile Mindset</t>
  </si>
  <si>
    <t>- Team Work
- Leadership &amp; Motivation
- Communication
- Problem Solving
- Change Management
- Networking/ Relationship building</t>
  </si>
  <si>
    <t>- Agile Mindset
- Process Understanding
- Product Understanding
- Market trends &amp; Challenges
- Market drivers
- Customer Segmentation Understanding
- Organization Knowledge</t>
  </si>
  <si>
    <t>Design (BANE05/BANE06)</t>
  </si>
  <si>
    <t>5: Design (BANE05/BANE06)</t>
  </si>
  <si>
    <t>Business Solution Evaluation</t>
  </si>
  <si>
    <r>
      <t>Business Analysis Planning &amp; Monitoring</t>
    </r>
    <r>
      <rPr>
        <b/>
        <sz val="9"/>
        <color rgb="FFFF0000"/>
        <rFont val="Calibri Light"/>
        <family val="2"/>
        <scheme val="major"/>
      </rPr>
      <t xml:space="preserve"> (*)</t>
    </r>
  </si>
  <si>
    <r>
      <t xml:space="preserve">Requirement Elicitation &amp; Collaboration </t>
    </r>
    <r>
      <rPr>
        <b/>
        <sz val="9"/>
        <color rgb="FFFF0000"/>
        <rFont val="Calibri Light"/>
        <family val="2"/>
        <scheme val="major"/>
      </rPr>
      <t>(*)</t>
    </r>
  </si>
  <si>
    <t>Software Business Analytics (*)</t>
  </si>
  <si>
    <t>- Requirement Specification
- Requirement Verification
- Requirement Validation
- Requirement UI/UX Behavior Design &amp; Principles
- Requirement CX (Customer Experience / Customer Journey)
- Solution Definition &amp; Assessment</t>
  </si>
  <si>
    <t>Industry Experiences (IT and Non-IT fields)</t>
  </si>
  <si>
    <t>- Elicitation Preparation
- Requirement Workshop / Conduct Elicitation
- Requirement Transfer &amp; Confirmation
- Requirement Management &amp; Communication
- Stakeholders Management</t>
  </si>
  <si>
    <t>ChiNTT, FHM, FDN (Viên), FHN (Hưng)</t>
  </si>
  <si>
    <t>~11-15 Projects / Phases</t>
  </si>
  <si>
    <t>~06-10 Projects / Phases</t>
  </si>
  <si>
    <t>~04-05 Projects / Phases</t>
  </si>
  <si>
    <t>~01-03 Projects / Phases</t>
  </si>
  <si>
    <t xml:space="preserve">Updated comments of BU in Summary_JD Feedback from FSU_2023.xlsx in loop email "Mời review New JD/JA Business Analyst 2022"
- Removed out PM career path in sheet "03. Career Paths"
- Removed out section of Project Diversity and Complexity and its weight, add this weight to Roles and Responsibilities in sheet "02. Models"
- Removed out section of Project Diversity and Complexity and its weight in sheet "05. Job Rankings" and sheet "04. Job Descriptions"
- Merged C3:H3 to B3 in sheet "07. Roles &amp; Responsibilities" and copy B3 to D6 in sheet "04. Job Descriptions"
- Merged section of Project Diversity and Complexity and its description to Roles and Responsibilities in sheet "04. Job Descriptions"
- Add RANK (BANE01-BANE06) after role level in section of The Level of Responsibility in sheet "08. Definitions" 
- Re-select level for each RANK in section of Roles and Responsibilities in sheet "04. Job Descriptions" and sheet "05. Job Rankings"
- Updated formula of cell H9:I15 in sheet "05. Job Rankings"
- Renamed text of "Business Analysis Team Size To Lead" section to "Team Size To Lead for BA Leader" in sheet "02. Models"
- Updated BANE04 -&gt; BU Level, BANE05-&gt; FSU Level, BANE06-&gt; FSOFT Level in section of Business Analysis Team Size To Lead in sheet "04. Job Descriptions"
- Added "Software Development Life Cycle", "Team Work" &amp; "Agile Mindset" into section of Experience &amp; Contributions in sheet "04. Job Descriptions"
- Added Team Work, Agile Mindset into section of Communication and Problem Solving, Analytical and Critical Thinking in sheet "04. Job Descriptions"
- Selected Limited Expereiene for sections of Business Solution Evaluation (*), Business Strategy Design, Software Design and Technology Stack for BANE02
- Selected IELTS 6.0 for BANE02, IELTS 6.5 BANE03, IELTS 7.0 for BANE04-BANE06 in sheet "04. Job Descriptions"
- Updated Solution Evaluation downed 10% to 5%, increased the Planining 5% up 7%, and increased the Elicitation 5% up 8% in sheet "02. Models"
- Set mandatory for sections of Planning &amp; Monitoring and Elicitation and removed out mandatory for section of Solution Evaluation in sheet "02. Models"
- Selected for mandatory for sections of Planning &amp; Monitoring and Elicitation in sheet "06. Assessment Summary"
- Added UI/UX Behavior Design &amp; Principles, CX (Customer Experience / Customer Journey) to section of Business Requirement Analysis (*) in sheet "04. Job Descriptions" 
- Updated "Industry Experiences" to "Industry Experiences (IT and Non-IT fields) in sheet "02. Models"
- Updated "Requirement Workshop =&gt; Requirement Workshop / Conduct Elicitation in  sheet "04. Job Descriptions"
- Replaced "Project Point" in section of "Number of Projects/Phases" by "FSOFTER can provide joined project is project rank of Project Rank A, Project Rank B, Project Rank C in Evidence section" in sheet  "04. Job Descriptions" </t>
  </si>
  <si>
    <r>
      <t xml:space="preserve">Enter your account + name in cell </t>
    </r>
    <r>
      <rPr>
        <b/>
        <sz val="11"/>
        <color theme="1"/>
        <rFont val="Calibri"/>
        <family val="2"/>
        <scheme val="minor"/>
      </rPr>
      <t>B3</t>
    </r>
    <r>
      <rPr>
        <sz val="11"/>
        <color theme="1"/>
        <rFont val="Calibri"/>
        <family val="2"/>
        <scheme val="minor"/>
      </rPr>
      <t xml:space="preserve"> </t>
    </r>
  </si>
  <si>
    <r>
      <t xml:space="preserve">Input any description in cell </t>
    </r>
    <r>
      <rPr>
        <b/>
        <sz val="11"/>
        <color theme="1"/>
        <rFont val="Calibri"/>
        <family val="2"/>
        <scheme val="minor"/>
      </rPr>
      <t>C3</t>
    </r>
  </si>
  <si>
    <r>
      <t xml:space="preserve">Choose your current or ranking that you need to achieve in cell </t>
    </r>
    <r>
      <rPr>
        <b/>
        <sz val="11"/>
        <color theme="1"/>
        <rFont val="Calibri"/>
        <family val="2"/>
        <scheme val="minor"/>
      </rPr>
      <t>H3</t>
    </r>
  </si>
  <si>
    <r>
      <t xml:space="preserve">Choose the correct value of each criteria at the Listbox in cells </t>
    </r>
    <r>
      <rPr>
        <b/>
        <sz val="11"/>
        <color theme="1"/>
        <rFont val="Calibri"/>
        <family val="2"/>
        <scheme val="minor"/>
      </rPr>
      <t>E7:E35</t>
    </r>
  </si>
  <si>
    <r>
      <t xml:space="preserve">Provide evidence or description in cells </t>
    </r>
    <r>
      <rPr>
        <b/>
        <sz val="11"/>
        <color theme="1"/>
        <rFont val="Calibri"/>
        <family val="2"/>
        <scheme val="minor"/>
      </rPr>
      <t>F7:F35</t>
    </r>
    <r>
      <rPr>
        <sz val="11"/>
        <color theme="1"/>
        <rFont val="Calibri"/>
        <family val="2"/>
        <scheme val="minor"/>
      </rPr>
      <t xml:space="preserve"> for corresponding criteria if any</t>
    </r>
  </si>
  <si>
    <r>
      <t>Filter "Yes" value in column J-[Need to improve?] and fill in the improvement to column K -</t>
    </r>
    <r>
      <rPr>
        <b/>
        <sz val="11"/>
        <color rgb="FF0000FF"/>
        <rFont val="Calibri"/>
        <family val="2"/>
        <scheme val="minor"/>
      </rPr>
      <t xml:space="preserve">[Action to improve] </t>
    </r>
    <r>
      <rPr>
        <b/>
        <sz val="11"/>
        <rFont val="Calibri"/>
        <family val="2"/>
        <scheme val="minor"/>
      </rPr>
      <t>and appropriate deadline in column L.</t>
    </r>
  </si>
  <si>
    <r>
      <t>* Refer the required skill for each item in</t>
    </r>
    <r>
      <rPr>
        <b/>
        <i/>
        <sz val="11"/>
        <color rgb="FFC00000"/>
        <rFont val="Calibri"/>
        <family val="2"/>
        <scheme val="minor"/>
      </rPr>
      <t xml:space="preserve"> column H-[Ranking Requirement] </t>
    </r>
    <r>
      <rPr>
        <i/>
        <sz val="11"/>
        <color rgb="FFC00000"/>
        <rFont val="Calibri"/>
        <family val="2"/>
        <scheme val="minor"/>
      </rPr>
      <t>to define what action need to be taken.</t>
    </r>
  </si>
  <si>
    <t>- This template will help BA find out the SKILL GAP to fulfill the required/desired ranking then define action to improve to achieve specific ranking.</t>
  </si>
  <si>
    <t xml:space="preserve">- This document use to assess current Software Business Analyst (BA) capabilities base on Job Description of FSOFT and specific requirement of BU. </t>
  </si>
  <si>
    <t>MAR.31.2023</t>
  </si>
  <si>
    <t>Required one of degree in Engineering and Non-Engineering: 
- Engineering: Computer Science | Information Technology | Computer Engineering | Software Engineering, ...
- Non-Engineering: Economics, Finances, Administrations, Social Science, Supply Chain, Logistics, ...</t>
  </si>
  <si>
    <t>- Joined the training courses of any FSOFT program (upskilling, reskilling, fasttrack, internal training) related to Business Analysis in year (ranking year)</t>
  </si>
  <si>
    <t>Competency-Based.SBA.JobDescription.FSOFT.v1.8.xlsx</t>
  </si>
  <si>
    <t>Updated comments of 10, 14, 15, 34 in Summary_JD Feedback from FSU_2023 (FDN updated).xlsx in loop email "Mời review New JD/JA Business Analyst 2022"</t>
  </si>
  <si>
    <t xml:space="preserve"> FDN (Viên)</t>
  </si>
  <si>
    <t>Updated template
1. Thêm stopped message cho các cô O7:O19 cho user biết tổng số bonus &lt;=5 points "Sorry,you are allowed to add Bonus points less than 5 points."
2. Thay chữ "Not Rank" =&gt; RANK 1 thấp nhất của Job Title. Thay đổi biểu thức ô E3=&gt; '06. Assessment Summary'!E5
3. Nếu Score &gt;= Score của RANK i, nhưng có 1 Mandatory thì vẫn chưa đạt Thay đổi biểu thức ô E3 =&gt; IF('06. Assessment Summary'!U30&gt;0,"Not Qualified RANK",
4. Nếu Score &lt; Score của RANK 1, thì vẫn chưa đạt RANK 1 Thay đổi biểu thức ô E3 =&gt; IF(G3&lt;'06. Assessment Summary'!E6,"Not Qualified RANK"&amp;"-"&amp; '06. Assessment Summary'!E5,
5. Thêm mới Table of Content và add các link để trỏ đến sheet tương ứng
6. Xóa các thông tin chi tiết trong sheet "Cover", chỉ giữ lại JOB, tên Job và Code, Version, Effect Date  
7. Đổi số thứ tự 03. Models =&gt; 02. Models, 02. Career Paths =&gt; 03. Career Paths, History of Changes =&gt; 09. Record of Change 
8. Thay đổi biểu thức ô ô L6 =K6+O6 (actual score + bonus score)</t>
  </si>
  <si>
    <t>SBA03</t>
  </si>
  <si>
    <t>(*) Mandatory assessment items. If there is any unqualified item, you will not qualified this rank.</t>
  </si>
  <si>
    <t>3: Lecturer/Trainer of Technical workshop of FSU</t>
  </si>
  <si>
    <t>Competency-Based.SBA.JobDescription.FSOFT.v1.9.xlsx</t>
  </si>
  <si>
    <t>The successful projects in business requirements that you have done at least one of the following tasks: analyze, design, develop, support, migrate, deploy, manage software projects or phases (FSOFTER can provide joined project is project rank of Project Rank A, Project Rank B, Project Rank C in Evidence section)</t>
  </si>
  <si>
    <t>ChiNT, FHN (Viên)</t>
  </si>
  <si>
    <t>Updated comments of ChiNTT in loop email "Updated BA's comments from BA team" on Mar 09 2023
Corrected "The successful projects in business requirements that you have done at least one of the following tasks: analyze, design, develop, support, migrate, deploy, manage software projects or phases (FSOFTER can provide joined project is project rank of Project Rank A, Project Rank B, Project Rank C in Evidence section)"</t>
  </si>
  <si>
    <r>
      <t xml:space="preserve">CHOOSE EXPECTED RANK </t>
    </r>
    <r>
      <rPr>
        <b/>
        <sz val="12"/>
        <color theme="1"/>
        <rFont val="Calibri Light"/>
        <family val="2"/>
        <scheme val="major"/>
      </rPr>
      <t>TO COMPARE</t>
    </r>
  </si>
  <si>
    <t>Add remarks or evidences for each evaluation if any</t>
  </si>
  <si>
    <t>Choose competency level for each evaluation criteria</t>
  </si>
  <si>
    <t>YOUR ASSESSMENT RANK TO COMPARE CORRESPONDING  RANK</t>
  </si>
  <si>
    <t>Competency-Based.SBA.JobDescription.FSOFT.v1.10.xlsx</t>
  </si>
  <si>
    <t xml:space="preserve">Updated comments of ChiNTT in loop email "Updated BA's comments from BA team" on Mar 09 2023
Added drop down list option 0 to items in column 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</si>
</sst>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_(* \(#,##0\);_(* &quot;-&quot;_);_(@_)"/>
    <numFmt numFmtId="43" formatCode="_(* #,##0.00_);_(* \(#,##0.00\);_(* &quot;-&quot;??_);_(@_)"/>
    <numFmt numFmtId="164" formatCode="_-* #,##0.00_-;\-* #,##0.00_-;_-* &quot;-&quot;??_-;_-@_-"/>
    <numFmt numFmtId="165" formatCode="0.0"/>
    <numFmt numFmtId="166" formatCode="_-* #,##0_-;\-* #,##0_-;_-* &quot;-&quot;_-;_-@_-"/>
    <numFmt numFmtId="167" formatCode="[$-409]d\-mmm\-yy;@"/>
    <numFmt numFmtId="168" formatCode="[$-409]d\-mmm\-yyyy;@"/>
  </numFmts>
  <fonts count="123">
    <font>
      <sz val="11"/>
      <color theme="1"/>
      <name val="Calibri"/>
      <family val="2"/>
      <scheme val="minor"/>
    </font>
    <font>
      <sz val="11"/>
      <color theme="1"/>
      <name val="Calibri"/>
      <family val="2"/>
      <scheme val="minor"/>
    </font>
    <font>
      <sz val="11"/>
      <color indexed="8"/>
      <name val="Calibri"/>
      <family val="2"/>
      <scheme val="minor"/>
    </font>
    <font>
      <sz val="10"/>
      <name val="Arial"/>
      <family val="2"/>
    </font>
    <font>
      <sz val="12"/>
      <color theme="1"/>
      <name val="Calibri"/>
      <family val="2"/>
      <scheme val="minor"/>
    </font>
    <font>
      <sz val="11"/>
      <color rgb="FF9C0006"/>
      <name val="Calibri"/>
      <family val="2"/>
      <scheme val="minor"/>
    </font>
    <font>
      <sz val="11"/>
      <name val="ＭＳ Ｐゴシック"/>
      <family val="3"/>
      <charset val="128"/>
    </font>
    <font>
      <sz val="11"/>
      <color theme="1"/>
      <name val="Calibri"/>
      <family val="2"/>
      <charset val="128"/>
      <scheme val="minor"/>
    </font>
    <font>
      <sz val="11"/>
      <color theme="1"/>
      <name val="Calibri"/>
      <family val="3"/>
      <charset val="128"/>
      <scheme val="minor"/>
    </font>
    <font>
      <sz val="11"/>
      <color indexed="8"/>
      <name val="ＭＳ Ｐゴシック"/>
      <family val="3"/>
      <charset val="128"/>
    </font>
    <font>
      <b/>
      <sz val="18"/>
      <color indexed="18"/>
      <name val="Arial"/>
      <family val="2"/>
    </font>
    <font>
      <i/>
      <sz val="8"/>
      <name val="Arial"/>
      <family val="2"/>
    </font>
    <font>
      <u/>
      <sz val="10"/>
      <color theme="10"/>
      <name val="Arial"/>
      <family val="2"/>
    </font>
    <font>
      <u/>
      <sz val="10"/>
      <color indexed="12"/>
      <name val="Arial"/>
      <family val="2"/>
    </font>
    <font>
      <sz val="10"/>
      <name val="Verdana"/>
      <family val="2"/>
    </font>
    <font>
      <sz val="11"/>
      <color indexed="8"/>
      <name val="Calibri"/>
      <family val="2"/>
    </font>
    <font>
      <sz val="9"/>
      <color indexed="81"/>
      <name val="Tahoma"/>
      <family val="2"/>
    </font>
    <font>
      <sz val="9"/>
      <color theme="1"/>
      <name val="Calibri"/>
      <family val="2"/>
      <scheme val="minor"/>
    </font>
    <font>
      <b/>
      <sz val="9"/>
      <color theme="1"/>
      <name val="Calibri"/>
      <family val="2"/>
      <scheme val="minor"/>
    </font>
    <font>
      <b/>
      <sz val="11"/>
      <color theme="1"/>
      <name val="Calibri"/>
      <family val="2"/>
      <scheme val="minor"/>
    </font>
    <font>
      <sz val="6"/>
      <color theme="1"/>
      <name val="Calibri"/>
      <family val="2"/>
      <scheme val="minor"/>
    </font>
    <font>
      <b/>
      <sz val="9"/>
      <color indexed="8"/>
      <name val="Calibri"/>
      <family val="2"/>
      <scheme val="minor"/>
    </font>
    <font>
      <sz val="9"/>
      <color indexed="8"/>
      <name val="Calibri"/>
      <family val="2"/>
      <scheme val="minor"/>
    </font>
    <font>
      <sz val="9"/>
      <name val="Calibri"/>
      <family val="2"/>
      <scheme val="minor"/>
    </font>
    <font>
      <sz val="8"/>
      <color indexed="8"/>
      <name val="Calibri"/>
      <family val="2"/>
      <scheme val="minor"/>
    </font>
    <font>
      <b/>
      <sz val="8"/>
      <name val="Calibri"/>
      <family val="2"/>
      <scheme val="minor"/>
    </font>
    <font>
      <sz val="8"/>
      <color theme="1"/>
      <name val="Calibri"/>
      <family val="2"/>
      <scheme val="minor"/>
    </font>
    <font>
      <b/>
      <sz val="9"/>
      <name val="Calibri Light"/>
      <family val="2"/>
      <scheme val="major"/>
    </font>
    <font>
      <sz val="9"/>
      <color theme="1"/>
      <name val="Calibri Light"/>
      <family val="2"/>
      <scheme val="major"/>
    </font>
    <font>
      <sz val="9"/>
      <name val="Calibri Light"/>
      <family val="2"/>
      <scheme val="major"/>
    </font>
    <font>
      <b/>
      <sz val="9"/>
      <color rgb="FFC00000"/>
      <name val="Calibri Light"/>
      <family val="2"/>
      <scheme val="major"/>
    </font>
    <font>
      <b/>
      <sz val="10"/>
      <color rgb="FFC00000"/>
      <name val="Calibri Light"/>
      <family val="2"/>
      <scheme val="major"/>
    </font>
    <font>
      <sz val="5"/>
      <name val="Calibri Light"/>
      <family val="2"/>
      <scheme val="major"/>
    </font>
    <font>
      <i/>
      <sz val="5"/>
      <name val="Calibri Light"/>
      <family val="2"/>
      <scheme val="major"/>
    </font>
    <font>
      <sz val="10"/>
      <color theme="1"/>
      <name val="Calibri"/>
      <family val="2"/>
      <scheme val="minor"/>
    </font>
    <font>
      <sz val="10"/>
      <color theme="1"/>
      <name val="Arial"/>
      <family val="2"/>
    </font>
    <font>
      <b/>
      <sz val="8"/>
      <color rgb="FFC00000"/>
      <name val="Calibri"/>
      <family val="2"/>
      <scheme val="minor"/>
    </font>
    <font>
      <b/>
      <sz val="11"/>
      <color indexed="8"/>
      <name val="Calibri"/>
      <family val="2"/>
      <scheme val="minor"/>
    </font>
    <font>
      <b/>
      <sz val="10"/>
      <color indexed="8"/>
      <name val="Calibri Light"/>
      <family val="2"/>
      <scheme val="major"/>
    </font>
    <font>
      <sz val="10"/>
      <color theme="1"/>
      <name val="Calibri Light"/>
      <family val="2"/>
      <scheme val="major"/>
    </font>
    <font>
      <b/>
      <sz val="12"/>
      <color theme="1"/>
      <name val="Calibri"/>
      <family val="2"/>
      <scheme val="minor"/>
    </font>
    <font>
      <b/>
      <sz val="8"/>
      <name val="Calibri Light"/>
      <family val="2"/>
      <scheme val="major"/>
    </font>
    <font>
      <b/>
      <sz val="10"/>
      <name val="Calibri Light"/>
      <family val="2"/>
      <scheme val="major"/>
    </font>
    <font>
      <sz val="8"/>
      <name val="Calibri Light"/>
      <family val="2"/>
      <scheme val="major"/>
    </font>
    <font>
      <sz val="8"/>
      <name val="Calibri"/>
      <family val="2"/>
      <scheme val="minor"/>
    </font>
    <font>
      <b/>
      <sz val="10"/>
      <color rgb="FF0000FF"/>
      <name val="Calibri Light"/>
      <family val="2"/>
      <scheme val="major"/>
    </font>
    <font>
      <sz val="10"/>
      <name val="Calibri Light"/>
      <family val="2"/>
      <scheme val="major"/>
    </font>
    <font>
      <b/>
      <sz val="9"/>
      <color rgb="FFFF0000"/>
      <name val="Calibri Light"/>
      <family val="2"/>
      <scheme val="major"/>
    </font>
    <font>
      <b/>
      <sz val="9"/>
      <color indexed="8"/>
      <name val="Calibri Light"/>
      <family val="2"/>
      <scheme val="major"/>
    </font>
    <font>
      <b/>
      <sz val="9"/>
      <color theme="1"/>
      <name val="Calibri Light"/>
      <family val="2"/>
      <scheme val="major"/>
    </font>
    <font>
      <b/>
      <sz val="11"/>
      <color theme="0"/>
      <name val="Calibri"/>
      <family val="2"/>
      <scheme val="minor"/>
    </font>
    <font>
      <sz val="11"/>
      <color theme="0"/>
      <name val="Calibri"/>
      <family val="2"/>
      <scheme val="minor"/>
    </font>
    <font>
      <b/>
      <sz val="11"/>
      <color indexed="8"/>
      <name val="Calibri Light"/>
      <family val="2"/>
      <scheme val="major"/>
    </font>
    <font>
      <sz val="11"/>
      <color indexed="8"/>
      <name val="Calibri Light"/>
      <family val="2"/>
      <scheme val="major"/>
    </font>
    <font>
      <sz val="11"/>
      <name val="Calibri Light"/>
      <family val="2"/>
      <scheme val="major"/>
    </font>
    <font>
      <b/>
      <sz val="11"/>
      <color theme="1"/>
      <name val="Calibri Light"/>
      <family val="2"/>
      <scheme val="major"/>
    </font>
    <font>
      <sz val="11"/>
      <color theme="1"/>
      <name val="Calibri Light"/>
      <family val="2"/>
      <scheme val="major"/>
    </font>
    <font>
      <u/>
      <sz val="11"/>
      <color theme="10"/>
      <name val="Calibri"/>
      <family val="2"/>
      <scheme val="minor"/>
    </font>
    <font>
      <sz val="6"/>
      <color theme="0"/>
      <name val="Calibri"/>
      <family val="2"/>
      <scheme val="minor"/>
    </font>
    <font>
      <sz val="10"/>
      <color theme="0"/>
      <name val="Calibri"/>
      <family val="2"/>
      <scheme val="minor"/>
    </font>
    <font>
      <sz val="8"/>
      <color theme="0"/>
      <name val="Calibri"/>
      <family val="2"/>
      <scheme val="minor"/>
    </font>
    <font>
      <b/>
      <sz val="12"/>
      <color rgb="FFC00000"/>
      <name val="Calibri"/>
      <family val="2"/>
      <scheme val="minor"/>
    </font>
    <font>
      <b/>
      <sz val="10"/>
      <color theme="1"/>
      <name val="Calibri Light"/>
      <family val="2"/>
      <scheme val="major"/>
    </font>
    <font>
      <b/>
      <sz val="10"/>
      <color rgb="FFFF0000"/>
      <name val="Calibri Light"/>
      <family val="2"/>
      <scheme val="major"/>
    </font>
    <font>
      <sz val="10"/>
      <color indexed="8"/>
      <name val="Calibri Light"/>
      <family val="2"/>
      <scheme val="major"/>
    </font>
    <font>
      <b/>
      <sz val="10"/>
      <color theme="1"/>
      <name val="Wingdings"/>
      <charset val="2"/>
    </font>
    <font>
      <b/>
      <sz val="9"/>
      <color rgb="FFFF0000"/>
      <name val="Calibri"/>
      <family val="2"/>
      <scheme val="minor"/>
    </font>
    <font>
      <b/>
      <sz val="14"/>
      <color theme="1"/>
      <name val="Calibri"/>
      <family val="2"/>
      <scheme val="minor"/>
    </font>
    <font>
      <b/>
      <sz val="18"/>
      <color theme="1"/>
      <name val="Calibri"/>
      <family val="2"/>
      <scheme val="minor"/>
    </font>
    <font>
      <b/>
      <sz val="14"/>
      <color indexed="8"/>
      <name val="Calibri"/>
      <family val="2"/>
      <scheme val="minor"/>
    </font>
    <font>
      <b/>
      <sz val="18"/>
      <color indexed="8"/>
      <name val="Calibri"/>
      <family val="2"/>
      <scheme val="minor"/>
    </font>
    <font>
      <b/>
      <sz val="12"/>
      <color theme="1"/>
      <name val="Calibri Light"/>
      <family val="2"/>
      <scheme val="major"/>
    </font>
    <font>
      <b/>
      <sz val="12"/>
      <color theme="1"/>
      <name val="Wingdings"/>
      <charset val="2"/>
    </font>
    <font>
      <b/>
      <sz val="12"/>
      <color indexed="8"/>
      <name val="Calibri Light"/>
      <family val="2"/>
      <scheme val="major"/>
    </font>
    <font>
      <b/>
      <sz val="10"/>
      <color theme="1"/>
      <name val="Calibri"/>
      <family val="2"/>
      <scheme val="minor"/>
    </font>
    <font>
      <b/>
      <sz val="8"/>
      <color theme="1"/>
      <name val="Calibri Light"/>
      <family val="2"/>
      <scheme val="major"/>
    </font>
    <font>
      <sz val="10"/>
      <color rgb="FFFF0000"/>
      <name val="Calibri Light"/>
      <family val="2"/>
      <scheme val="major"/>
    </font>
    <font>
      <b/>
      <sz val="12"/>
      <name val="Calibri Light"/>
      <family val="2"/>
      <scheme val="major"/>
    </font>
    <font>
      <sz val="11"/>
      <color rgb="FFFF0000"/>
      <name val="Calibri"/>
      <family val="2"/>
      <scheme val="minor"/>
    </font>
    <font>
      <b/>
      <sz val="11"/>
      <name val="Calibri Light"/>
      <family val="2"/>
      <scheme val="major"/>
    </font>
    <font>
      <b/>
      <sz val="10"/>
      <color indexed="8"/>
      <name val="Arial"/>
      <family val="2"/>
    </font>
    <font>
      <sz val="10"/>
      <color indexed="8"/>
      <name val="Arial"/>
      <family val="2"/>
    </font>
    <font>
      <sz val="6"/>
      <color rgb="FFFF0000"/>
      <name val="Calibri"/>
      <family val="2"/>
      <scheme val="minor"/>
    </font>
    <font>
      <sz val="5"/>
      <color rgb="FFFF0000"/>
      <name val="Calibri Light"/>
      <family val="2"/>
      <scheme val="major"/>
    </font>
    <font>
      <sz val="10"/>
      <color rgb="FFFF0000"/>
      <name val="Calibri"/>
      <family val="2"/>
      <scheme val="minor"/>
    </font>
    <font>
      <sz val="11"/>
      <color rgb="FFC00000"/>
      <name val="Calibri Light"/>
      <family val="2"/>
      <scheme val="major"/>
    </font>
    <font>
      <sz val="11"/>
      <color rgb="FFC00000"/>
      <name val="Calibri"/>
      <family val="2"/>
      <scheme val="minor"/>
    </font>
    <font>
      <sz val="8"/>
      <name val="Arial"/>
      <family val="2"/>
    </font>
    <font>
      <b/>
      <sz val="11"/>
      <color rgb="FFC00000"/>
      <name val="Calibri"/>
      <family val="2"/>
      <scheme val="minor"/>
    </font>
    <font>
      <b/>
      <sz val="16"/>
      <color rgb="FFC00000"/>
      <name val="Calibri"/>
      <family val="2"/>
      <scheme val="minor"/>
    </font>
    <font>
      <b/>
      <sz val="10"/>
      <name val="Arial"/>
      <family val="2"/>
    </font>
    <font>
      <b/>
      <sz val="18"/>
      <color indexed="16"/>
      <name val="Arial"/>
      <family val="2"/>
    </font>
    <font>
      <i/>
      <sz val="10"/>
      <color indexed="16"/>
      <name val="Arial"/>
      <family val="2"/>
    </font>
    <font>
      <b/>
      <sz val="20"/>
      <color indexed="16"/>
      <name val="Calibri Light"/>
      <family val="2"/>
      <scheme val="major"/>
    </font>
    <font>
      <b/>
      <sz val="10"/>
      <color indexed="16"/>
      <name val="Arial"/>
      <family val="2"/>
    </font>
    <font>
      <b/>
      <sz val="8"/>
      <name val="Arial"/>
      <family val="2"/>
    </font>
    <font>
      <b/>
      <sz val="9"/>
      <color indexed="81"/>
      <name val="Tahoma"/>
      <family val="2"/>
    </font>
    <font>
      <b/>
      <sz val="9"/>
      <color indexed="8"/>
      <name val="Arial"/>
      <family val="2"/>
    </font>
    <font>
      <sz val="8"/>
      <color rgb="FFFF0000"/>
      <name val="Calibri"/>
      <family val="2"/>
      <scheme val="minor"/>
    </font>
    <font>
      <sz val="5"/>
      <color theme="0"/>
      <name val="Calibri Light"/>
      <family val="2"/>
      <scheme val="major"/>
    </font>
    <font>
      <b/>
      <sz val="12"/>
      <name val="Arial"/>
      <family val="2"/>
    </font>
    <font>
      <b/>
      <sz val="9"/>
      <name val="Arial"/>
      <family val="2"/>
    </font>
    <font>
      <sz val="9"/>
      <name val="Arial"/>
      <family val="2"/>
    </font>
    <font>
      <i/>
      <sz val="9"/>
      <name val="Arial"/>
      <family val="2"/>
    </font>
    <font>
      <b/>
      <sz val="9"/>
      <color rgb="FFFF0000"/>
      <name val="Arial"/>
      <family val="2"/>
    </font>
    <font>
      <sz val="9"/>
      <color theme="1"/>
      <name val="Arial"/>
      <family val="2"/>
    </font>
    <font>
      <b/>
      <sz val="12"/>
      <color indexed="8"/>
      <name val="Arial"/>
      <family val="2"/>
    </font>
    <font>
      <sz val="9"/>
      <color indexed="8"/>
      <name val="Arial"/>
      <family val="2"/>
    </font>
    <font>
      <b/>
      <sz val="9"/>
      <color theme="1"/>
      <name val="Arial"/>
      <family val="2"/>
    </font>
    <font>
      <b/>
      <sz val="12"/>
      <color rgb="FFFF0000"/>
      <name val="Calibri Light"/>
      <family val="2"/>
      <scheme val="major"/>
    </font>
    <font>
      <i/>
      <sz val="14"/>
      <color indexed="8"/>
      <name val="Calibri"/>
      <family val="2"/>
      <scheme val="minor"/>
    </font>
    <font>
      <b/>
      <sz val="18"/>
      <color rgb="FFFF0000"/>
      <name val="Calibri"/>
      <family val="2"/>
      <scheme val="minor"/>
    </font>
    <font>
      <b/>
      <sz val="10"/>
      <color theme="1"/>
      <name val="Arial"/>
      <family val="2"/>
    </font>
    <font>
      <sz val="12"/>
      <color rgb="FFFF0000"/>
      <name val="Calibri Light"/>
      <family val="2"/>
      <scheme val="major"/>
    </font>
    <font>
      <b/>
      <sz val="8"/>
      <color rgb="FFFF0000"/>
      <name val="Calibri Light"/>
      <family val="2"/>
      <scheme val="major"/>
    </font>
    <font>
      <b/>
      <i/>
      <u/>
      <sz val="16"/>
      <color rgb="FF002060"/>
      <name val="Calibri"/>
      <family val="2"/>
      <scheme val="minor"/>
    </font>
    <font>
      <b/>
      <sz val="18"/>
      <color theme="1" tint="0.34998626667073579"/>
      <name val="Calibri"/>
      <family val="2"/>
      <scheme val="minor"/>
    </font>
    <font>
      <b/>
      <sz val="11"/>
      <color rgb="FF0000FF"/>
      <name val="Calibri"/>
      <family val="2"/>
      <scheme val="minor"/>
    </font>
    <font>
      <b/>
      <sz val="11"/>
      <name val="Calibri"/>
      <family val="2"/>
      <scheme val="minor"/>
    </font>
    <font>
      <i/>
      <sz val="11"/>
      <color rgb="FFC00000"/>
      <name val="Calibri"/>
      <family val="2"/>
      <scheme val="minor"/>
    </font>
    <font>
      <b/>
      <i/>
      <sz val="11"/>
      <color rgb="FFC00000"/>
      <name val="Calibri"/>
      <family val="2"/>
      <scheme val="minor"/>
    </font>
    <font>
      <b/>
      <sz val="10"/>
      <color theme="0"/>
      <name val="Calibri Light"/>
      <family val="2"/>
      <scheme val="major"/>
    </font>
    <font>
      <b/>
      <sz val="14"/>
      <color rgb="FFC00000"/>
      <name val="Calibri"/>
      <family val="2"/>
      <scheme val="minor"/>
    </font>
  </fonts>
  <fills count="29">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FFC7CE"/>
      </patternFill>
    </fill>
    <fill>
      <patternFill patternType="solid">
        <fgColor indexed="44"/>
      </patternFill>
    </fill>
    <fill>
      <patternFill patternType="solid">
        <fgColor theme="4" tint="0.39997558519241921"/>
        <bgColor indexed="64"/>
      </patternFill>
    </fill>
    <fill>
      <patternFill patternType="solid">
        <fgColor rgb="FFFFF6DD"/>
        <bgColor indexed="64"/>
      </patternFill>
    </fill>
    <fill>
      <patternFill patternType="solid">
        <fgColor theme="7" tint="0.59999389629810485"/>
        <bgColor indexed="64"/>
      </patternFill>
    </fill>
    <fill>
      <patternFill patternType="solid">
        <fgColor rgb="FFE8EBF0"/>
        <bgColor indexed="64"/>
      </patternFill>
    </fill>
    <fill>
      <patternFill patternType="solid">
        <fgColor rgb="FF00CC99"/>
        <bgColor indexed="64"/>
      </patternFill>
    </fill>
    <fill>
      <patternFill patternType="solid">
        <fgColor theme="0" tint="-4.9989318521683403E-2"/>
        <bgColor indexed="64"/>
      </patternFill>
    </fill>
    <fill>
      <patternFill patternType="solid">
        <fgColor rgb="FFFFFF89"/>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indexed="9"/>
        <bgColor indexed="64"/>
      </patternFill>
    </fill>
    <fill>
      <patternFill patternType="solid">
        <fgColor indexed="2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BA8CDC"/>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thin">
        <color auto="1"/>
      </top>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auto="1"/>
      </left>
      <right/>
      <top style="thin">
        <color auto="1"/>
      </top>
      <bottom style="dotted">
        <color auto="1"/>
      </bottom>
      <diagonal/>
    </border>
    <border>
      <left style="thin">
        <color auto="1"/>
      </left>
      <right/>
      <top style="dotted">
        <color auto="1"/>
      </top>
      <bottom style="dotted">
        <color auto="1"/>
      </bottom>
      <diagonal/>
    </border>
    <border>
      <left style="thin">
        <color auto="1"/>
      </left>
      <right/>
      <top style="dotted">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s>
  <cellStyleXfs count="74">
    <xf numFmtId="0" fontId="0" fillId="0" borderId="0"/>
    <xf numFmtId="9" fontId="1"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43" fontId="3" fillId="0" borderId="0" applyFont="0" applyFill="0" applyBorder="0" applyAlignment="0" applyProtection="0"/>
    <xf numFmtId="0" fontId="1" fillId="0" borderId="0"/>
    <xf numFmtId="0" fontId="1" fillId="0" borderId="0"/>
    <xf numFmtId="0" fontId="6" fillId="0" borderId="0"/>
    <xf numFmtId="0" fontId="7" fillId="0" borderId="0">
      <alignment vertical="center"/>
    </xf>
    <xf numFmtId="0" fontId="8" fillId="0" borderId="0">
      <alignment vertical="center"/>
    </xf>
    <xf numFmtId="0" fontId="9" fillId="10" borderId="0" applyNumberFormat="0" applyBorder="0" applyAlignment="0" applyProtection="0">
      <alignment vertical="center"/>
    </xf>
    <xf numFmtId="0" fontId="8" fillId="0" borderId="0">
      <alignment vertical="center"/>
    </xf>
    <xf numFmtId="0" fontId="8" fillId="0" borderId="0">
      <alignment vertical="center"/>
    </xf>
    <xf numFmtId="0" fontId="4" fillId="0" borderId="0"/>
    <xf numFmtId="0" fontId="10" fillId="0" borderId="0"/>
    <xf numFmtId="0" fontId="3" fillId="0" borderId="0"/>
    <xf numFmtId="0" fontId="11" fillId="0" borderId="0">
      <alignment horizontal="left" indent="2"/>
    </xf>
    <xf numFmtId="9" fontId="7" fillId="0" borderId="0" applyFont="0" applyFill="0" applyBorder="0" applyAlignment="0" applyProtection="0"/>
    <xf numFmtId="0" fontId="12" fillId="0" borderId="0" applyNumberFormat="0" applyFill="0" applyBorder="0" applyAlignment="0" applyProtection="0"/>
    <xf numFmtId="9" fontId="3" fillId="0" borderId="0" applyFill="0" applyBorder="0" applyAlignment="0" applyProtection="0"/>
    <xf numFmtId="0" fontId="5" fillId="9" borderId="0" applyNumberFormat="0" applyBorder="0" applyAlignment="0" applyProtection="0"/>
    <xf numFmtId="166" fontId="3" fillId="0" borderId="0" applyFont="0" applyFill="0" applyBorder="0" applyAlignment="0" applyProtection="0"/>
    <xf numFmtId="0" fontId="7" fillId="0" borderId="0"/>
    <xf numFmtId="0" fontId="7" fillId="0" borderId="0"/>
    <xf numFmtId="0" fontId="3" fillId="0" borderId="0"/>
    <xf numFmtId="0" fontId="4" fillId="0" borderId="0"/>
    <xf numFmtId="9" fontId="3" fillId="0" borderId="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0" fontId="13" fillId="0" borderId="0" applyNumberFormat="0" applyFill="0" applyBorder="0" applyAlignment="0" applyProtection="0">
      <alignment vertical="top"/>
      <protection locked="0"/>
    </xf>
    <xf numFmtId="0" fontId="14" fillId="0" borderId="0">
      <alignment horizontal="center" vertical="center"/>
    </xf>
    <xf numFmtId="0" fontId="3" fillId="0" borderId="0"/>
    <xf numFmtId="0" fontId="3" fillId="0" borderId="0"/>
    <xf numFmtId="0" fontId="3" fillId="0" borderId="0"/>
    <xf numFmtId="0" fontId="3" fillId="0" borderId="0"/>
    <xf numFmtId="0" fontId="7" fillId="0" borderId="0"/>
    <xf numFmtId="0" fontId="7" fillId="0" borderId="0"/>
    <xf numFmtId="0" fontId="6" fillId="0" borderId="0"/>
    <xf numFmtId="0" fontId="1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14" fillId="0" borderId="0">
      <alignment horizontal="center"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0" fontId="4" fillId="0" borderId="0"/>
    <xf numFmtId="0" fontId="35"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57" fillId="0" borderId="0" applyNumberFormat="0" applyFill="0" applyBorder="0" applyAlignment="0" applyProtection="0"/>
    <xf numFmtId="0" fontId="3" fillId="0" borderId="0"/>
    <xf numFmtId="0" fontId="4" fillId="0" borderId="0"/>
    <xf numFmtId="0" fontId="3" fillId="0" borderId="0"/>
  </cellStyleXfs>
  <cellXfs count="569">
    <xf numFmtId="0" fontId="0" fillId="0" borderId="0" xfId="0"/>
    <xf numFmtId="0" fontId="0" fillId="6" borderId="0" xfId="0" applyFill="1"/>
    <xf numFmtId="0" fontId="0" fillId="6" borderId="0" xfId="0" applyFill="1" applyAlignment="1">
      <alignment horizontal="left" indent="1"/>
    </xf>
    <xf numFmtId="0" fontId="22" fillId="0" borderId="0" xfId="0" applyFont="1" applyFill="1"/>
    <xf numFmtId="0" fontId="22" fillId="0" borderId="0" xfId="0" applyFont="1" applyFill="1" applyAlignment="1">
      <alignment horizontal="center" vertical="center"/>
    </xf>
    <xf numFmtId="0" fontId="22" fillId="0" borderId="0" xfId="0" applyFont="1" applyFill="1" applyAlignment="1">
      <alignment vertical="center"/>
    </xf>
    <xf numFmtId="0" fontId="18" fillId="7" borderId="1" xfId="0" applyFont="1" applyFill="1" applyBorder="1" applyAlignment="1">
      <alignment horizontal="center" vertical="center" wrapText="1"/>
    </xf>
    <xf numFmtId="0" fontId="22" fillId="0" borderId="0" xfId="0" applyFont="1" applyFill="1" applyAlignment="1">
      <alignment horizontal="left"/>
    </xf>
    <xf numFmtId="0" fontId="22" fillId="0" borderId="0" xfId="0" applyFont="1" applyFill="1" applyAlignment="1">
      <alignment horizontal="left" vertical="top" indent="1"/>
    </xf>
    <xf numFmtId="165" fontId="22" fillId="2" borderId="1" xfId="0" applyNumberFormat="1" applyFont="1" applyFill="1" applyBorder="1" applyAlignment="1">
      <alignment horizontal="center" vertical="center"/>
    </xf>
    <xf numFmtId="0" fontId="17" fillId="0" borderId="0" xfId="0" applyFont="1" applyFill="1"/>
    <xf numFmtId="0" fontId="24" fillId="6" borderId="0" xfId="0" applyFont="1" applyFill="1" applyAlignment="1">
      <alignment horizontal="center" vertical="center"/>
    </xf>
    <xf numFmtId="0" fontId="24" fillId="0" borderId="0" xfId="0" applyFont="1" applyFill="1" applyAlignment="1">
      <alignment horizontal="center" vertical="center"/>
    </xf>
    <xf numFmtId="0" fontId="24" fillId="0" borderId="0" xfId="0" applyFont="1" applyFill="1" applyBorder="1" applyAlignment="1">
      <alignment horizontal="center" wrapText="1"/>
    </xf>
    <xf numFmtId="9" fontId="29" fillId="3" borderId="1" xfId="0" applyNumberFormat="1" applyFont="1" applyFill="1" applyBorder="1" applyAlignment="1">
      <alignment horizontal="center" vertical="center" wrapText="1"/>
    </xf>
    <xf numFmtId="0" fontId="0" fillId="6" borderId="0" xfId="0" applyFill="1" applyAlignment="1">
      <alignment horizontal="center"/>
    </xf>
    <xf numFmtId="0" fontId="22" fillId="6" borderId="0" xfId="0" applyFont="1" applyFill="1"/>
    <xf numFmtId="0" fontId="22" fillId="6" borderId="0" xfId="0" applyFont="1" applyFill="1" applyAlignment="1">
      <alignment vertical="center"/>
    </xf>
    <xf numFmtId="0" fontId="22" fillId="6" borderId="0" xfId="0" applyFont="1" applyFill="1" applyAlignment="1">
      <alignment horizontal="left"/>
    </xf>
    <xf numFmtId="0" fontId="22" fillId="6" borderId="0" xfId="0" applyFont="1" applyFill="1" applyAlignment="1">
      <alignment horizontal="left" vertical="top" indent="1"/>
    </xf>
    <xf numFmtId="0" fontId="17" fillId="6" borderId="0" xfId="0" applyFont="1" applyFill="1"/>
    <xf numFmtId="0" fontId="22" fillId="6" borderId="0" xfId="0" applyFont="1" applyFill="1" applyAlignment="1">
      <alignment horizontal="center" vertical="center"/>
    </xf>
    <xf numFmtId="0" fontId="24" fillId="6" borderId="0" xfId="0" applyFont="1" applyFill="1" applyBorder="1" applyAlignment="1">
      <alignment horizontal="center" wrapText="1"/>
    </xf>
    <xf numFmtId="0" fontId="20" fillId="6" borderId="0" xfId="0" applyFont="1" applyFill="1"/>
    <xf numFmtId="0" fontId="26" fillId="6" borderId="0" xfId="0" applyFont="1" applyFill="1"/>
    <xf numFmtId="0" fontId="34" fillId="6" borderId="0" xfId="0" applyFont="1" applyFill="1"/>
    <xf numFmtId="0" fontId="22" fillId="6" borderId="0" xfId="0" applyFont="1" applyFill="1" applyAlignment="1">
      <alignment horizontal="left" vertical="top" wrapText="1"/>
    </xf>
    <xf numFmtId="0" fontId="22" fillId="0" borderId="0" xfId="0" applyFont="1" applyFill="1" applyAlignment="1">
      <alignment horizontal="left" vertical="top" wrapText="1"/>
    </xf>
    <xf numFmtId="0" fontId="26" fillId="6" borderId="0" xfId="0" applyFont="1" applyFill="1" applyAlignment="1">
      <alignment horizontal="center"/>
    </xf>
    <xf numFmtId="0" fontId="32" fillId="6" borderId="0" xfId="0" applyFont="1" applyFill="1" applyBorder="1" applyAlignment="1">
      <alignment horizontal="left" vertical="center" wrapText="1"/>
    </xf>
    <xf numFmtId="0" fontId="33" fillId="6" borderId="0" xfId="0" applyFont="1" applyFill="1" applyBorder="1" applyAlignment="1">
      <alignment horizontal="center" vertical="center" wrapText="1"/>
    </xf>
    <xf numFmtId="0" fontId="32" fillId="6" borderId="0" xfId="0" applyFont="1" applyFill="1" applyBorder="1" applyAlignment="1">
      <alignment horizontal="center" vertical="center" wrapText="1"/>
    </xf>
    <xf numFmtId="0" fontId="34" fillId="6" borderId="0" xfId="0" applyFont="1" applyFill="1" applyAlignment="1">
      <alignment horizontal="center"/>
    </xf>
    <xf numFmtId="0" fontId="0" fillId="6" borderId="0" xfId="0" applyFill="1" applyAlignment="1">
      <alignment vertical="center"/>
    </xf>
    <xf numFmtId="0" fontId="19" fillId="6" borderId="0" xfId="0" applyFont="1" applyFill="1" applyAlignment="1">
      <alignment vertical="center"/>
    </xf>
    <xf numFmtId="0" fontId="21" fillId="7" borderId="1" xfId="0" applyFont="1" applyFill="1" applyBorder="1" applyAlignment="1">
      <alignment horizontal="center" vertical="center"/>
    </xf>
    <xf numFmtId="0" fontId="0" fillId="6" borderId="0" xfId="0" applyFill="1" applyAlignment="1">
      <alignment horizontal="center" vertical="center"/>
    </xf>
    <xf numFmtId="0" fontId="37" fillId="6" borderId="0" xfId="0" applyFont="1" applyFill="1" applyBorder="1" applyAlignment="1">
      <alignment horizontal="left" vertical="center" indent="1"/>
    </xf>
    <xf numFmtId="0" fontId="22" fillId="6" borderId="0" xfId="0" applyFont="1" applyFill="1" applyAlignment="1">
      <alignment horizontal="left" wrapText="1" indent="1"/>
    </xf>
    <xf numFmtId="0" fontId="22" fillId="0" borderId="0" xfId="0" applyFont="1" applyFill="1" applyAlignment="1">
      <alignment horizontal="left" wrapText="1" indent="1"/>
    </xf>
    <xf numFmtId="0" fontId="29" fillId="3" borderId="1" xfId="0" applyFont="1" applyFill="1" applyBorder="1" applyAlignment="1">
      <alignment horizontal="left" vertical="center" wrapText="1" indent="1"/>
    </xf>
    <xf numFmtId="0" fontId="0" fillId="6" borderId="0" xfId="0" applyFill="1" applyAlignment="1">
      <alignment horizontal="left" vertical="center" indent="1"/>
    </xf>
    <xf numFmtId="0" fontId="22" fillId="6" borderId="0" xfId="0" applyFont="1" applyFill="1" applyBorder="1" applyAlignment="1">
      <alignment horizontal="center" vertical="center"/>
    </xf>
    <xf numFmtId="0" fontId="22" fillId="0" borderId="0" xfId="0" applyFont="1" applyFill="1" applyBorder="1" applyAlignment="1">
      <alignment horizontal="center" vertical="center"/>
    </xf>
    <xf numFmtId="0" fontId="38" fillId="4" borderId="7" xfId="0" applyFont="1" applyFill="1" applyBorder="1" applyAlignment="1">
      <alignment horizontal="center" vertical="center"/>
    </xf>
    <xf numFmtId="0" fontId="38" fillId="4" borderId="9" xfId="0" applyFont="1" applyFill="1" applyBorder="1" applyAlignment="1">
      <alignment horizontal="center" vertical="center"/>
    </xf>
    <xf numFmtId="0" fontId="38" fillId="4" borderId="9" xfId="0" applyFont="1" applyFill="1" applyBorder="1" applyAlignment="1">
      <alignment horizontal="left" vertical="center" indent="1"/>
    </xf>
    <xf numFmtId="0" fontId="39" fillId="0" borderId="7" xfId="0" applyFont="1" applyBorder="1" applyAlignment="1">
      <alignment horizontal="center" vertical="center"/>
    </xf>
    <xf numFmtId="0" fontId="39" fillId="0" borderId="9" xfId="0" applyFont="1" applyBorder="1" applyAlignment="1">
      <alignment horizontal="center" vertical="center"/>
    </xf>
    <xf numFmtId="0" fontId="39" fillId="0" borderId="3" xfId="0" applyFont="1" applyBorder="1" applyAlignment="1">
      <alignment horizontal="left" vertical="center" indent="1"/>
    </xf>
    <xf numFmtId="0" fontId="39" fillId="0" borderId="3" xfId="0" applyFont="1" applyBorder="1" applyAlignment="1">
      <alignment horizontal="center" vertical="center"/>
    </xf>
    <xf numFmtId="0" fontId="39"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indent="1"/>
    </xf>
    <xf numFmtId="0" fontId="34" fillId="6" borderId="0" xfId="0" applyFont="1" applyFill="1" applyAlignment="1">
      <alignment vertical="center"/>
    </xf>
    <xf numFmtId="0" fontId="26" fillId="6" borderId="0" xfId="0" applyFont="1" applyFill="1" applyAlignment="1">
      <alignment vertical="center"/>
    </xf>
    <xf numFmtId="0" fontId="39" fillId="0" borderId="3" xfId="0" applyFont="1" applyBorder="1" applyAlignment="1">
      <alignment horizontal="left" vertical="center" wrapText="1" indent="1"/>
    </xf>
    <xf numFmtId="0" fontId="17" fillId="6" borderId="0" xfId="65" applyFont="1" applyFill="1"/>
    <xf numFmtId="0" fontId="39" fillId="0" borderId="3" xfId="0" quotePrefix="1" applyFont="1" applyBorder="1" applyAlignment="1">
      <alignment horizontal="left" vertical="center" wrapText="1" indent="1"/>
    </xf>
    <xf numFmtId="0" fontId="27"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9" fontId="27" fillId="4" borderId="7" xfId="1" applyFont="1" applyFill="1" applyBorder="1" applyAlignment="1">
      <alignment horizontal="center" vertical="center" wrapText="1"/>
    </xf>
    <xf numFmtId="0" fontId="31" fillId="7" borderId="1" xfId="0" applyFont="1" applyFill="1" applyBorder="1" applyAlignment="1">
      <alignment horizontal="center" vertical="center" wrapText="1"/>
    </xf>
    <xf numFmtId="0" fontId="27" fillId="17" borderId="1" xfId="0" applyFont="1" applyFill="1" applyBorder="1" applyAlignment="1">
      <alignment horizontal="left" vertical="center" wrapText="1" indent="1"/>
    </xf>
    <xf numFmtId="9" fontId="27" fillId="17" borderId="1" xfId="0" applyNumberFormat="1" applyFont="1" applyFill="1" applyBorder="1" applyAlignment="1">
      <alignment horizontal="center" vertical="center" wrapText="1"/>
    </xf>
    <xf numFmtId="165" fontId="44" fillId="14" borderId="1" xfId="0" applyNumberFormat="1" applyFont="1" applyFill="1" applyBorder="1" applyAlignment="1">
      <alignment horizontal="center" vertical="center"/>
    </xf>
    <xf numFmtId="0" fontId="38" fillId="4" borderId="10" xfId="0" applyFont="1" applyFill="1" applyBorder="1" applyAlignment="1">
      <alignment horizontal="right" vertical="center"/>
    </xf>
    <xf numFmtId="0" fontId="39" fillId="0" borderId="10" xfId="0" applyFont="1" applyBorder="1" applyAlignment="1">
      <alignment horizontal="right" vertical="center"/>
    </xf>
    <xf numFmtId="0" fontId="39" fillId="0" borderId="5" xfId="0" applyFont="1" applyBorder="1" applyAlignment="1">
      <alignment horizontal="right" vertical="center"/>
    </xf>
    <xf numFmtId="0" fontId="0" fillId="0" borderId="0" xfId="0" applyAlignment="1">
      <alignment horizontal="right"/>
    </xf>
    <xf numFmtId="0" fontId="17" fillId="6" borderId="0" xfId="0" applyFont="1" applyFill="1" applyAlignment="1">
      <alignment vertical="center"/>
    </xf>
    <xf numFmtId="0" fontId="28" fillId="0" borderId="3" xfId="0" applyFont="1" applyBorder="1" applyAlignment="1">
      <alignment horizontal="left" vertical="center" indent="1"/>
    </xf>
    <xf numFmtId="0" fontId="28" fillId="0" borderId="0" xfId="0" applyFont="1" applyAlignment="1">
      <alignment horizontal="center" vertical="center"/>
    </xf>
    <xf numFmtId="0" fontId="28" fillId="4" borderId="1" xfId="0" applyFont="1" applyFill="1" applyBorder="1" applyAlignment="1">
      <alignment horizontal="center" vertical="center" wrapText="1"/>
    </xf>
    <xf numFmtId="0" fontId="28" fillId="0" borderId="0" xfId="0" applyFont="1" applyAlignment="1">
      <alignment vertical="center" wrapText="1"/>
    </xf>
    <xf numFmtId="0" fontId="28" fillId="0" borderId="0" xfId="0" quotePrefix="1" applyFont="1" applyAlignment="1">
      <alignment vertical="center" wrapText="1"/>
    </xf>
    <xf numFmtId="0" fontId="28" fillId="0" borderId="8" xfId="0" applyFont="1" applyFill="1" applyBorder="1" applyAlignment="1">
      <alignment vertical="center" wrapText="1"/>
    </xf>
    <xf numFmtId="0" fontId="49" fillId="7" borderId="1" xfId="0" applyFont="1" applyFill="1" applyBorder="1" applyAlignment="1">
      <alignment horizontal="left" vertical="center"/>
    </xf>
    <xf numFmtId="0" fontId="28" fillId="0" borderId="0" xfId="0" applyFont="1" applyAlignment="1">
      <alignment vertical="center"/>
    </xf>
    <xf numFmtId="0" fontId="28" fillId="0" borderId="0" xfId="0" applyFont="1" applyFill="1" applyBorder="1" applyAlignment="1">
      <alignment horizontal="center" vertical="center" wrapText="1"/>
    </xf>
    <xf numFmtId="0" fontId="28" fillId="0" borderId="0" xfId="0" applyFont="1" applyFill="1" applyBorder="1" applyAlignment="1">
      <alignment horizontal="left" vertical="center" wrapText="1"/>
    </xf>
    <xf numFmtId="0" fontId="28" fillId="0" borderId="0" xfId="0" applyFont="1" applyFill="1" applyAlignment="1">
      <alignment vertical="center" wrapText="1"/>
    </xf>
    <xf numFmtId="0" fontId="49" fillId="7" borderId="3" xfId="0" applyFont="1" applyFill="1" applyBorder="1" applyAlignment="1">
      <alignment horizontal="left" vertical="center"/>
    </xf>
    <xf numFmtId="0" fontId="49" fillId="7" borderId="4" xfId="0" applyFont="1" applyFill="1" applyBorder="1" applyAlignment="1">
      <alignment horizontal="left" vertical="center"/>
    </xf>
    <xf numFmtId="0" fontId="28" fillId="0" borderId="5" xfId="0" applyFont="1" applyFill="1" applyBorder="1" applyAlignment="1">
      <alignment horizontal="center" vertical="center" wrapText="1"/>
    </xf>
    <xf numFmtId="0" fontId="28" fillId="0" borderId="5" xfId="0" applyFont="1" applyFill="1" applyBorder="1" applyAlignment="1">
      <alignment horizontal="left" vertical="center" wrapText="1"/>
    </xf>
    <xf numFmtId="0" fontId="49" fillId="7" borderId="1" xfId="0" applyFont="1" applyFill="1" applyBorder="1" applyAlignment="1">
      <alignment horizontal="left" vertical="center" wrapText="1"/>
    </xf>
    <xf numFmtId="0" fontId="49" fillId="7" borderId="10" xfId="0" applyFont="1" applyFill="1" applyBorder="1" applyAlignment="1">
      <alignment horizontal="left" vertical="center" indent="1"/>
    </xf>
    <xf numFmtId="0" fontId="28" fillId="4" borderId="10" xfId="0" applyFont="1" applyFill="1" applyBorder="1" applyAlignment="1">
      <alignment horizontal="center" vertical="center"/>
    </xf>
    <xf numFmtId="0" fontId="28" fillId="0" borderId="1" xfId="0" applyFont="1" applyBorder="1" applyAlignment="1">
      <alignment horizontal="left" vertical="center" indent="1"/>
    </xf>
    <xf numFmtId="0" fontId="28" fillId="5" borderId="10" xfId="0" applyFont="1" applyFill="1" applyBorder="1" applyAlignment="1">
      <alignment horizontal="center" vertical="center"/>
    </xf>
    <xf numFmtId="0" fontId="28" fillId="4" borderId="5" xfId="0" applyFont="1" applyFill="1" applyBorder="1" applyAlignment="1">
      <alignment horizontal="center" vertical="center"/>
    </xf>
    <xf numFmtId="0" fontId="49" fillId="7" borderId="1" xfId="0" applyFont="1" applyFill="1" applyBorder="1" applyAlignment="1">
      <alignment horizontal="left" vertical="center" indent="1"/>
    </xf>
    <xf numFmtId="0" fontId="28" fillId="0" borderId="9" xfId="0" applyFont="1" applyBorder="1" applyAlignment="1">
      <alignment horizontal="left" vertical="center" indent="1"/>
    </xf>
    <xf numFmtId="165" fontId="32" fillId="6" borderId="0" xfId="0" applyNumberFormat="1" applyFont="1" applyFill="1" applyBorder="1" applyAlignment="1">
      <alignment horizontal="center" vertical="center" wrapText="1"/>
    </xf>
    <xf numFmtId="1" fontId="41" fillId="13" borderId="1" xfId="0" applyNumberFormat="1" applyFont="1" applyFill="1" applyBorder="1" applyAlignment="1">
      <alignment horizontal="center" vertical="center" wrapText="1"/>
    </xf>
    <xf numFmtId="0" fontId="46" fillId="0" borderId="2" xfId="0" applyFont="1" applyFill="1" applyBorder="1" applyAlignment="1">
      <alignment horizontal="left" vertical="center" wrapText="1" indent="1"/>
    </xf>
    <xf numFmtId="0" fontId="46" fillId="0" borderId="1" xfId="0" quotePrefix="1" applyFont="1" applyFill="1" applyBorder="1" applyAlignment="1">
      <alignment horizontal="left" vertical="center" wrapText="1" indent="1"/>
    </xf>
    <xf numFmtId="0" fontId="46" fillId="0" borderId="1" xfId="0" quotePrefix="1" applyFont="1" applyFill="1" applyBorder="1" applyAlignment="1">
      <alignment horizontal="left" vertical="top" wrapText="1" indent="1"/>
    </xf>
    <xf numFmtId="0" fontId="19" fillId="5" borderId="0" xfId="0" applyFont="1" applyFill="1" applyAlignment="1">
      <alignment vertical="center"/>
    </xf>
    <xf numFmtId="0" fontId="52" fillId="0" borderId="1" xfId="0" applyFont="1" applyFill="1" applyBorder="1" applyAlignment="1">
      <alignment horizontal="left" vertical="center" indent="1"/>
    </xf>
    <xf numFmtId="0" fontId="53" fillId="0" borderId="5" xfId="0" applyFont="1" applyBorder="1"/>
    <xf numFmtId="0" fontId="53" fillId="0" borderId="4" xfId="0" applyFont="1" applyBorder="1"/>
    <xf numFmtId="0" fontId="53" fillId="0" borderId="1" xfId="0" applyFont="1" applyFill="1" applyBorder="1" applyAlignment="1">
      <alignment horizontal="left" vertical="center" indent="1"/>
    </xf>
    <xf numFmtId="14" fontId="53" fillId="0" borderId="5" xfId="0" applyNumberFormat="1" applyFont="1" applyBorder="1" applyAlignment="1">
      <alignment horizontal="left"/>
    </xf>
    <xf numFmtId="14" fontId="53" fillId="0" borderId="4" xfId="0" applyNumberFormat="1" applyFont="1" applyBorder="1" applyAlignment="1">
      <alignment horizontal="left"/>
    </xf>
    <xf numFmtId="0" fontId="53" fillId="0" borderId="0" xfId="0" applyFont="1" applyFill="1"/>
    <xf numFmtId="0" fontId="53" fillId="0" borderId="0" xfId="0" applyFont="1"/>
    <xf numFmtId="0" fontId="52" fillId="3" borderId="1" xfId="0" applyFont="1" applyFill="1" applyBorder="1" applyAlignment="1">
      <alignment horizontal="left" vertical="center" indent="1"/>
    </xf>
    <xf numFmtId="0" fontId="52" fillId="3" borderId="3" xfId="0" applyFont="1" applyFill="1" applyBorder="1" applyAlignment="1">
      <alignment horizontal="left" vertical="center" indent="1"/>
    </xf>
    <xf numFmtId="0" fontId="52" fillId="3" borderId="5" xfId="0" applyFont="1" applyFill="1" applyBorder="1" applyAlignment="1">
      <alignment vertical="center"/>
    </xf>
    <xf numFmtId="0" fontId="52" fillId="3" borderId="4" xfId="0" applyFont="1" applyFill="1" applyBorder="1" applyAlignment="1">
      <alignment vertical="center"/>
    </xf>
    <xf numFmtId="49" fontId="56" fillId="0" borderId="9" xfId="0" applyNumberFormat="1" applyFont="1" applyBorder="1" applyAlignment="1">
      <alignment horizontal="center" vertical="center"/>
    </xf>
    <xf numFmtId="0" fontId="53" fillId="0" borderId="3" xfId="0" applyFont="1" applyBorder="1" applyAlignment="1">
      <alignment horizontal="left" vertical="center" indent="1"/>
    </xf>
    <xf numFmtId="0" fontId="56" fillId="0" borderId="0" xfId="0" applyFont="1"/>
    <xf numFmtId="0" fontId="56" fillId="0" borderId="0" xfId="0" quotePrefix="1" applyFont="1"/>
    <xf numFmtId="0" fontId="57" fillId="0" borderId="0" xfId="70"/>
    <xf numFmtId="49" fontId="56" fillId="3" borderId="9" xfId="0" applyNumberFormat="1" applyFont="1" applyFill="1" applyBorder="1" applyAlignment="1">
      <alignment horizontal="center" vertical="center"/>
    </xf>
    <xf numFmtId="0" fontId="53" fillId="3" borderId="3" xfId="0" applyFont="1" applyFill="1" applyBorder="1" applyAlignment="1">
      <alignment horizontal="left" vertical="center" indent="1"/>
    </xf>
    <xf numFmtId="0" fontId="53" fillId="3" borderId="5" xfId="0" applyFont="1" applyFill="1" applyBorder="1"/>
    <xf numFmtId="0" fontId="53" fillId="3" borderId="4" xfId="0" applyFont="1" applyFill="1" applyBorder="1"/>
    <xf numFmtId="0" fontId="58" fillId="6" borderId="0" xfId="0" applyFont="1" applyFill="1" applyBorder="1"/>
    <xf numFmtId="0" fontId="59" fillId="6" borderId="0" xfId="0" applyFont="1" applyFill="1" applyBorder="1"/>
    <xf numFmtId="0" fontId="50" fillId="6" borderId="0" xfId="0" applyFont="1" applyFill="1" applyBorder="1" applyAlignment="1"/>
    <xf numFmtId="0" fontId="51" fillId="6" borderId="0" xfId="0" applyFont="1" applyFill="1" applyBorder="1"/>
    <xf numFmtId="0" fontId="60" fillId="6" borderId="0" xfId="0" applyFont="1" applyFill="1" applyBorder="1"/>
    <xf numFmtId="0" fontId="51" fillId="6" borderId="0" xfId="0" applyFont="1" applyFill="1" applyBorder="1" applyAlignment="1">
      <alignment vertical="center"/>
    </xf>
    <xf numFmtId="0" fontId="51" fillId="6" borderId="0" xfId="0" applyFont="1" applyFill="1" applyBorder="1" applyAlignment="1">
      <alignment vertical="center" wrapText="1"/>
    </xf>
    <xf numFmtId="0" fontId="51" fillId="6" borderId="0" xfId="0" applyFont="1" applyFill="1" applyBorder="1" applyAlignment="1" applyProtection="1">
      <alignment vertical="center"/>
    </xf>
    <xf numFmtId="1" fontId="51" fillId="6" borderId="0" xfId="1" applyNumberFormat="1" applyFont="1" applyFill="1" applyBorder="1" applyAlignment="1">
      <alignment vertical="center"/>
    </xf>
    <xf numFmtId="1" fontId="51" fillId="6" borderId="0" xfId="0" applyNumberFormat="1" applyFont="1" applyFill="1" applyBorder="1" applyAlignment="1">
      <alignment vertical="center"/>
    </xf>
    <xf numFmtId="0" fontId="50" fillId="6" borderId="0" xfId="0" applyFont="1" applyFill="1" applyBorder="1" applyAlignment="1">
      <alignment vertical="center"/>
    </xf>
    <xf numFmtId="165" fontId="50" fillId="6" borderId="0" xfId="0" applyNumberFormat="1" applyFont="1" applyFill="1" applyBorder="1" applyAlignment="1">
      <alignment vertical="center"/>
    </xf>
    <xf numFmtId="0" fontId="18" fillId="8" borderId="1" xfId="0" applyFont="1" applyFill="1" applyBorder="1" applyAlignment="1">
      <alignment horizontal="center" vertical="center" wrapText="1"/>
    </xf>
    <xf numFmtId="0" fontId="42" fillId="12" borderId="1" xfId="0" applyFont="1" applyFill="1" applyBorder="1" applyAlignment="1">
      <alignment horizontal="left" vertical="center" indent="1"/>
    </xf>
    <xf numFmtId="0" fontId="42" fillId="12" borderId="1" xfId="0" applyFont="1" applyFill="1" applyBorder="1" applyAlignment="1">
      <alignment horizontal="left" vertical="center" wrapText="1" indent="1"/>
    </xf>
    <xf numFmtId="0" fontId="42" fillId="12" borderId="1" xfId="0" applyFont="1" applyFill="1" applyBorder="1" applyAlignment="1">
      <alignment horizontal="center" vertical="center" wrapText="1"/>
    </xf>
    <xf numFmtId="0" fontId="42" fillId="18" borderId="1" xfId="0" applyFont="1" applyFill="1" applyBorder="1" applyAlignment="1">
      <alignment horizontal="left" vertical="center" wrapText="1" indent="1"/>
    </xf>
    <xf numFmtId="9" fontId="42" fillId="18" borderId="1" xfId="1" applyFont="1" applyFill="1" applyBorder="1" applyAlignment="1">
      <alignment horizontal="center" vertical="center"/>
    </xf>
    <xf numFmtId="0" fontId="42" fillId="18" borderId="1" xfId="0" applyFont="1" applyFill="1" applyBorder="1" applyAlignment="1">
      <alignment horizontal="left" vertical="center"/>
    </xf>
    <xf numFmtId="0" fontId="42" fillId="18" borderId="1" xfId="0" applyFont="1" applyFill="1" applyBorder="1" applyAlignment="1">
      <alignment horizontal="center" vertical="center"/>
    </xf>
    <xf numFmtId="165" fontId="63" fillId="18" borderId="1" xfId="0" applyNumberFormat="1" applyFont="1" applyFill="1" applyBorder="1" applyAlignment="1">
      <alignment horizontal="center" vertical="center"/>
    </xf>
    <xf numFmtId="165" fontId="42" fillId="18" borderId="1"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39" fillId="18" borderId="1" xfId="0" applyFont="1" applyFill="1" applyBorder="1" applyAlignment="1">
      <alignment horizontal="left" vertical="top" wrapText="1"/>
    </xf>
    <xf numFmtId="0" fontId="46" fillId="16" borderId="1" xfId="0" applyFont="1" applyFill="1" applyBorder="1" applyAlignment="1">
      <alignment horizontal="left" vertical="center" wrapText="1" indent="1"/>
    </xf>
    <xf numFmtId="9" fontId="46" fillId="16" borderId="1" xfId="1" applyFont="1" applyFill="1" applyBorder="1" applyAlignment="1">
      <alignment horizontal="center" vertical="center" wrapText="1"/>
    </xf>
    <xf numFmtId="0" fontId="46" fillId="6" borderId="1" xfId="0" quotePrefix="1" applyFont="1" applyFill="1" applyBorder="1" applyAlignment="1">
      <alignment horizontal="left" vertical="center" wrapText="1" indent="1"/>
    </xf>
    <xf numFmtId="165" fontId="64" fillId="6" borderId="1" xfId="0" applyNumberFormat="1" applyFont="1" applyFill="1" applyBorder="1" applyAlignment="1">
      <alignment horizontal="left" vertical="top" wrapText="1"/>
    </xf>
    <xf numFmtId="165" fontId="46" fillId="16" borderId="1" xfId="0" applyNumberFormat="1" applyFont="1" applyFill="1" applyBorder="1" applyAlignment="1">
      <alignment horizontal="center" vertical="center"/>
    </xf>
    <xf numFmtId="0" fontId="64" fillId="0" borderId="1" xfId="0" applyFont="1" applyFill="1" applyBorder="1" applyAlignment="1">
      <alignment horizontal="center" vertical="center"/>
    </xf>
    <xf numFmtId="0" fontId="64" fillId="0" borderId="1" xfId="0" applyFont="1" applyFill="1" applyBorder="1" applyAlignment="1">
      <alignment horizontal="left" vertical="top" wrapText="1"/>
    </xf>
    <xf numFmtId="167" fontId="64" fillId="6" borderId="1" xfId="0" applyNumberFormat="1" applyFont="1" applyFill="1" applyBorder="1" applyAlignment="1">
      <alignment vertical="top" wrapText="1"/>
    </xf>
    <xf numFmtId="0" fontId="46" fillId="0" borderId="1" xfId="0" applyFont="1" applyFill="1" applyBorder="1" applyAlignment="1">
      <alignment horizontal="left" vertical="center" wrapText="1" indent="1"/>
    </xf>
    <xf numFmtId="0" fontId="39" fillId="0" borderId="1" xfId="0" applyFont="1" applyFill="1" applyBorder="1" applyAlignment="1">
      <alignment horizontal="left" vertical="center" wrapText="1"/>
    </xf>
    <xf numFmtId="0" fontId="39" fillId="18" borderId="1" xfId="0" applyFont="1" applyFill="1" applyBorder="1" applyAlignment="1">
      <alignment horizontal="left" vertical="center" wrapText="1"/>
    </xf>
    <xf numFmtId="0" fontId="39" fillId="16" borderId="1" xfId="0" applyFont="1" applyFill="1" applyBorder="1" applyAlignment="1">
      <alignment horizontal="left" vertical="center" indent="1"/>
    </xf>
    <xf numFmtId="0" fontId="46" fillId="6" borderId="1" xfId="0" applyFont="1" applyFill="1" applyBorder="1" applyAlignment="1">
      <alignment horizontal="left" vertical="center" wrapText="1" indent="1"/>
    </xf>
    <xf numFmtId="0" fontId="39" fillId="0" borderId="1" xfId="0" applyFont="1" applyFill="1" applyBorder="1" applyAlignment="1">
      <alignment horizontal="left" vertical="top" wrapText="1"/>
    </xf>
    <xf numFmtId="165" fontId="64" fillId="6" borderId="1" xfId="0" quotePrefix="1" applyNumberFormat="1" applyFont="1" applyFill="1" applyBorder="1" applyAlignment="1">
      <alignment horizontal="left" vertical="top" wrapText="1"/>
    </xf>
    <xf numFmtId="0" fontId="64" fillId="0" borderId="1" xfId="0" applyFont="1" applyFill="1" applyBorder="1" applyAlignment="1">
      <alignment horizontal="left" vertical="center" wrapText="1"/>
    </xf>
    <xf numFmtId="0" fontId="41" fillId="13" borderId="7" xfId="0" applyFont="1" applyFill="1" applyBorder="1" applyAlignment="1">
      <alignment horizontal="center" vertical="center" wrapText="1"/>
    </xf>
    <xf numFmtId="1" fontId="41" fillId="13" borderId="7" xfId="0" applyNumberFormat="1" applyFont="1" applyFill="1" applyBorder="1" applyAlignment="1">
      <alignment horizontal="center" vertical="center" wrapText="1"/>
    </xf>
    <xf numFmtId="0" fontId="28" fillId="16" borderId="1" xfId="0" applyFont="1" applyFill="1" applyBorder="1" applyAlignment="1">
      <alignment horizontal="left" vertical="center" wrapText="1" indent="1"/>
    </xf>
    <xf numFmtId="0" fontId="29" fillId="0" borderId="1" xfId="0" quotePrefix="1" applyFont="1" applyFill="1" applyBorder="1" applyAlignment="1">
      <alignment horizontal="left" vertical="top" wrapText="1" indent="1"/>
    </xf>
    <xf numFmtId="0" fontId="29" fillId="0" borderId="2" xfId="0" applyFont="1" applyFill="1" applyBorder="1" applyAlignment="1">
      <alignment horizontal="left" vertical="center" wrapText="1" indent="1"/>
    </xf>
    <xf numFmtId="0" fontId="29" fillId="0" borderId="2" xfId="0" quotePrefix="1" applyFont="1" applyFill="1" applyBorder="1" applyAlignment="1">
      <alignment horizontal="left" vertical="center" wrapText="1" indent="1"/>
    </xf>
    <xf numFmtId="0" fontId="39" fillId="18" borderId="1" xfId="0" applyFont="1" applyFill="1" applyBorder="1" applyAlignment="1">
      <alignment horizontal="left" vertical="center" wrapText="1" indent="1"/>
    </xf>
    <xf numFmtId="165" fontId="36" fillId="19" borderId="1" xfId="0" applyNumberFormat="1" applyFont="1" applyFill="1" applyBorder="1" applyAlignment="1">
      <alignment horizontal="center" vertical="center"/>
    </xf>
    <xf numFmtId="0" fontId="0" fillId="19" borderId="1" xfId="0" applyFill="1" applyBorder="1" applyAlignment="1">
      <alignment horizontal="center"/>
    </xf>
    <xf numFmtId="0" fontId="33" fillId="19" borderId="1" xfId="0" applyFont="1" applyFill="1" applyBorder="1" applyAlignment="1">
      <alignment horizontal="center" vertical="center" wrapText="1"/>
    </xf>
    <xf numFmtId="0" fontId="41" fillId="19" borderId="9" xfId="0" applyFont="1" applyFill="1" applyBorder="1" applyAlignment="1">
      <alignment horizontal="center" vertical="center" wrapText="1"/>
    </xf>
    <xf numFmtId="1" fontId="41" fillId="19" borderId="7" xfId="0" applyNumberFormat="1" applyFont="1" applyFill="1" applyBorder="1" applyAlignment="1">
      <alignment horizontal="center" vertical="center" wrapText="1"/>
    </xf>
    <xf numFmtId="165" fontId="44" fillId="19" borderId="1" xfId="0" applyNumberFormat="1" applyFont="1" applyFill="1" applyBorder="1" applyAlignment="1">
      <alignment horizontal="center" vertical="center"/>
    </xf>
    <xf numFmtId="0" fontId="62" fillId="19" borderId="7" xfId="0" applyFont="1" applyFill="1" applyBorder="1" applyAlignment="1">
      <alignment horizontal="left" vertical="center" wrapText="1" indent="1"/>
    </xf>
    <xf numFmtId="0" fontId="31" fillId="19" borderId="1" xfId="0" applyFont="1" applyFill="1" applyBorder="1" applyAlignment="1">
      <alignment horizontal="center" vertical="center" wrapText="1"/>
    </xf>
    <xf numFmtId="1" fontId="66" fillId="19" borderId="1" xfId="0" applyNumberFormat="1" applyFont="1" applyFill="1" applyBorder="1" applyAlignment="1">
      <alignment horizontal="center" vertical="center" wrapText="1"/>
    </xf>
    <xf numFmtId="0" fontId="42" fillId="19" borderId="1" xfId="0" applyFont="1" applyFill="1" applyBorder="1" applyAlignment="1">
      <alignment horizontal="center" vertical="center" wrapText="1"/>
    </xf>
    <xf numFmtId="0" fontId="45" fillId="19" borderId="1" xfId="0" applyFont="1" applyFill="1" applyBorder="1" applyAlignment="1">
      <alignment horizontal="center" vertical="center" wrapText="1"/>
    </xf>
    <xf numFmtId="0" fontId="39" fillId="19" borderId="1" xfId="0" applyFont="1" applyFill="1" applyBorder="1" applyAlignment="1">
      <alignment horizontal="center" vertical="center" wrapText="1"/>
    </xf>
    <xf numFmtId="0" fontId="39" fillId="19" borderId="1" xfId="0" applyFont="1" applyFill="1" applyBorder="1" applyAlignment="1">
      <alignment horizontal="left" vertical="top" wrapText="1"/>
    </xf>
    <xf numFmtId="0" fontId="68" fillId="6" borderId="0" xfId="0" applyFont="1" applyFill="1" applyAlignment="1">
      <alignment vertical="center"/>
    </xf>
    <xf numFmtId="9" fontId="41" fillId="16" borderId="1" xfId="0" applyNumberFormat="1" applyFont="1" applyFill="1" applyBorder="1" applyAlignment="1">
      <alignment horizontal="center" vertical="center" wrapText="1"/>
    </xf>
    <xf numFmtId="9" fontId="43" fillId="16" borderId="1" xfId="0" applyNumberFormat="1" applyFont="1" applyFill="1" applyBorder="1" applyAlignment="1">
      <alignment horizontal="center" vertical="center" wrapText="1"/>
    </xf>
    <xf numFmtId="0" fontId="31" fillId="7" borderId="3" xfId="0" applyFont="1" applyFill="1" applyBorder="1" applyAlignment="1">
      <alignment horizontal="left" vertical="center" wrapText="1" indent="1"/>
    </xf>
    <xf numFmtId="0" fontId="62" fillId="19" borderId="1" xfId="0" applyFont="1" applyFill="1" applyBorder="1" applyAlignment="1">
      <alignment horizontal="left" vertical="center" wrapText="1" indent="1"/>
    </xf>
    <xf numFmtId="0" fontId="34" fillId="6" borderId="0" xfId="0" applyFont="1" applyFill="1" applyAlignment="1">
      <alignment horizontal="left" indent="1"/>
    </xf>
    <xf numFmtId="165" fontId="71" fillId="7" borderId="1" xfId="0" applyNumberFormat="1" applyFont="1" applyFill="1" applyBorder="1" applyAlignment="1">
      <alignment horizontal="center" vertical="center" wrapText="1"/>
    </xf>
    <xf numFmtId="0" fontId="42" fillId="17" borderId="1" xfId="0" applyFont="1" applyFill="1" applyBorder="1" applyAlignment="1">
      <alignment horizontal="center" vertical="center" wrapText="1"/>
    </xf>
    <xf numFmtId="0" fontId="69" fillId="4" borderId="0" xfId="0" applyFont="1" applyFill="1" applyBorder="1" applyAlignment="1">
      <alignment horizontal="left" vertical="center" indent="1"/>
    </xf>
    <xf numFmtId="0" fontId="40" fillId="5" borderId="0" xfId="0" applyFont="1" applyFill="1" applyAlignment="1">
      <alignment vertical="center"/>
    </xf>
    <xf numFmtId="0" fontId="28" fillId="0" borderId="1" xfId="0" applyFont="1" applyFill="1" applyBorder="1" applyAlignment="1">
      <alignment horizontal="left" vertical="center" wrapText="1" indent="1"/>
    </xf>
    <xf numFmtId="0" fontId="28" fillId="6" borderId="1" xfId="0" applyFont="1" applyFill="1" applyBorder="1" applyAlignment="1">
      <alignment horizontal="left" vertical="center" wrapText="1" indent="1"/>
    </xf>
    <xf numFmtId="0" fontId="28" fillId="0" borderId="1" xfId="0" quotePrefix="1" applyFont="1" applyBorder="1" applyAlignment="1">
      <alignment horizontal="left" vertical="center" wrapText="1" indent="1"/>
    </xf>
    <xf numFmtId="0" fontId="28" fillId="0" borderId="1" xfId="0" applyFont="1" applyBorder="1" applyAlignment="1">
      <alignment horizontal="left" vertical="center" wrapText="1" indent="1"/>
    </xf>
    <xf numFmtId="0" fontId="28" fillId="0" borderId="5" xfId="0" applyFont="1" applyFill="1" applyBorder="1" applyAlignment="1">
      <alignment horizontal="left" vertical="center" wrapText="1" indent="1"/>
    </xf>
    <xf numFmtId="0" fontId="28" fillId="4" borderId="1" xfId="0" applyFont="1" applyFill="1" applyBorder="1" applyAlignment="1">
      <alignment horizontal="left" vertical="center" wrapText="1" indent="1"/>
    </xf>
    <xf numFmtId="0" fontId="28" fillId="0" borderId="0" xfId="0" applyFont="1" applyFill="1" applyAlignment="1">
      <alignment horizontal="left" vertical="center" wrapText="1" indent="1"/>
    </xf>
    <xf numFmtId="0" fontId="28" fillId="0" borderId="6" xfId="0" applyFont="1" applyFill="1" applyBorder="1" applyAlignment="1">
      <alignment horizontal="left" vertical="center" wrapText="1" indent="1"/>
    </xf>
    <xf numFmtId="0" fontId="28" fillId="0" borderId="0" xfId="0" applyFont="1" applyFill="1" applyBorder="1" applyAlignment="1">
      <alignment horizontal="left" vertical="center" wrapText="1" indent="1"/>
    </xf>
    <xf numFmtId="0" fontId="29" fillId="0" borderId="1" xfId="0" applyFont="1" applyBorder="1" applyAlignment="1">
      <alignment horizontal="left" vertical="center" wrapText="1" indent="1"/>
    </xf>
    <xf numFmtId="0" fontId="49" fillId="7" borderId="4" xfId="0" applyFont="1" applyFill="1" applyBorder="1" applyAlignment="1">
      <alignment horizontal="left" vertical="center" indent="1"/>
    </xf>
    <xf numFmtId="0" fontId="17" fillId="6" borderId="0" xfId="65" applyFont="1" applyFill="1" applyAlignment="1">
      <alignment vertical="center"/>
    </xf>
    <xf numFmtId="0" fontId="39" fillId="0" borderId="0" xfId="0" applyFont="1" applyFill="1" applyAlignment="1">
      <alignment horizontal="left" vertical="center" indent="1"/>
    </xf>
    <xf numFmtId="0" fontId="46" fillId="7" borderId="2" xfId="0" applyFont="1" applyFill="1" applyBorder="1" applyAlignment="1">
      <alignment horizontal="left" vertical="center" wrapText="1" indent="1"/>
    </xf>
    <xf numFmtId="0" fontId="46" fillId="7" borderId="1" xfId="0" applyFont="1" applyFill="1" applyBorder="1" applyAlignment="1">
      <alignment horizontal="left" vertical="center" wrapText="1" indent="1"/>
    </xf>
    <xf numFmtId="0" fontId="46" fillId="20" borderId="1" xfId="0" quotePrefix="1" applyFont="1" applyFill="1" applyBorder="1" applyAlignment="1">
      <alignment horizontal="left" vertical="center" wrapText="1" indent="1"/>
    </xf>
    <xf numFmtId="0" fontId="46" fillId="20" borderId="1" xfId="0" applyFont="1" applyFill="1" applyBorder="1" applyAlignment="1">
      <alignment horizontal="left" vertical="center" wrapText="1" indent="1"/>
    </xf>
    <xf numFmtId="0" fontId="46" fillId="7" borderId="7" xfId="0" applyFont="1" applyFill="1" applyBorder="1" applyAlignment="1">
      <alignment horizontal="left" vertical="center" wrapText="1" indent="1"/>
    </xf>
    <xf numFmtId="0" fontId="42" fillId="7" borderId="7" xfId="0" applyFont="1" applyFill="1" applyBorder="1" applyAlignment="1">
      <alignment horizontal="left" vertical="center" wrapText="1" indent="1"/>
    </xf>
    <xf numFmtId="0" fontId="39" fillId="7" borderId="1" xfId="0" applyFont="1" applyFill="1" applyBorder="1" applyAlignment="1">
      <alignment horizontal="left" vertical="center" wrapText="1" indent="1"/>
    </xf>
    <xf numFmtId="0" fontId="39" fillId="7" borderId="2" xfId="0" applyFont="1" applyFill="1" applyBorder="1" applyAlignment="1">
      <alignment horizontal="left" vertical="center" wrapText="1" indent="1"/>
    </xf>
    <xf numFmtId="0" fontId="39" fillId="7" borderId="1" xfId="0" quotePrefix="1" applyFont="1" applyFill="1" applyBorder="1" applyAlignment="1">
      <alignment horizontal="left" vertical="center" wrapText="1" indent="1"/>
    </xf>
    <xf numFmtId="0" fontId="39" fillId="7" borderId="2" xfId="0" quotePrefix="1" applyFont="1" applyFill="1" applyBorder="1" applyAlignment="1">
      <alignment horizontal="left" vertical="center" wrapText="1" indent="1"/>
    </xf>
    <xf numFmtId="0" fontId="74" fillId="7" borderId="1" xfId="0" applyFont="1" applyFill="1" applyBorder="1" applyAlignment="1">
      <alignment horizontal="left" vertical="center" wrapText="1" indent="1"/>
    </xf>
    <xf numFmtId="0" fontId="39" fillId="20" borderId="1" xfId="0" applyFont="1" applyFill="1" applyBorder="1" applyAlignment="1">
      <alignment horizontal="left" vertical="center" wrapText="1" indent="1"/>
    </xf>
    <xf numFmtId="0" fontId="39" fillId="20" borderId="1" xfId="0" quotePrefix="1" applyFont="1" applyFill="1" applyBorder="1" applyAlignment="1">
      <alignment horizontal="left" vertical="center" wrapText="1" indent="1"/>
    </xf>
    <xf numFmtId="0" fontId="39" fillId="0" borderId="1" xfId="0" quotePrefix="1" applyFont="1" applyFill="1" applyBorder="1" applyAlignment="1">
      <alignment horizontal="left" vertical="top" wrapText="1" indent="1"/>
    </xf>
    <xf numFmtId="0" fontId="39" fillId="0" borderId="0" xfId="0" applyFont="1" applyFill="1" applyAlignment="1">
      <alignment horizontal="left" vertical="top" indent="1"/>
    </xf>
    <xf numFmtId="49" fontId="31" fillId="7" borderId="1" xfId="0" applyNumberFormat="1" applyFont="1" applyFill="1" applyBorder="1" applyAlignment="1">
      <alignment horizontal="center" vertical="center" wrapText="1"/>
    </xf>
    <xf numFmtId="0" fontId="54" fillId="6" borderId="0" xfId="0" applyFont="1" applyFill="1" applyBorder="1" applyAlignment="1">
      <alignment horizontal="left" vertical="center" wrapText="1" indent="1"/>
    </xf>
    <xf numFmtId="0" fontId="48" fillId="7" borderId="1" xfId="0" applyFont="1" applyFill="1" applyBorder="1" applyAlignment="1">
      <alignment horizontal="left" vertical="center" indent="1"/>
    </xf>
    <xf numFmtId="0" fontId="28" fillId="0" borderId="8" xfId="0" applyFont="1" applyFill="1" applyBorder="1" applyAlignment="1">
      <alignment horizontal="left" vertical="center" wrapText="1" indent="1"/>
    </xf>
    <xf numFmtId="0" fontId="49" fillId="7" borderId="10" xfId="0" applyFont="1" applyFill="1" applyBorder="1" applyAlignment="1">
      <alignment horizontal="left" vertical="center" indent="2"/>
    </xf>
    <xf numFmtId="0" fontId="28" fillId="0" borderId="0" xfId="0" applyFont="1" applyAlignment="1">
      <alignment horizontal="left" vertical="center" wrapText="1" indent="1"/>
    </xf>
    <xf numFmtId="0" fontId="48" fillId="7" borderId="1" xfId="0" applyFont="1" applyFill="1" applyBorder="1" applyAlignment="1">
      <alignment horizontal="left" vertical="center" wrapText="1" indent="1"/>
    </xf>
    <xf numFmtId="0" fontId="28" fillId="0" borderId="0" xfId="0" applyFont="1" applyAlignment="1">
      <alignment horizontal="left" vertical="center" indent="1"/>
    </xf>
    <xf numFmtId="0" fontId="28" fillId="0" borderId="1" xfId="0" applyFont="1" applyBorder="1" applyAlignment="1">
      <alignment horizontal="left" vertical="top" wrapText="1" indent="1"/>
    </xf>
    <xf numFmtId="43" fontId="28" fillId="0" borderId="0" xfId="69" applyFont="1" applyFill="1" applyBorder="1" applyAlignment="1">
      <alignment horizontal="left" vertical="center" wrapText="1" indent="1"/>
    </xf>
    <xf numFmtId="0" fontId="75" fillId="7" borderId="1" xfId="0" applyFont="1" applyFill="1" applyBorder="1" applyAlignment="1">
      <alignment horizontal="center" vertical="center" wrapText="1"/>
    </xf>
    <xf numFmtId="0" fontId="76" fillId="0" borderId="1" xfId="0" applyFont="1" applyFill="1" applyBorder="1" applyAlignment="1">
      <alignment horizontal="center" vertical="center" wrapText="1"/>
    </xf>
    <xf numFmtId="0" fontId="54" fillId="6" borderId="10" xfId="0" applyFont="1" applyFill="1" applyBorder="1" applyAlignment="1">
      <alignment horizontal="left" vertical="top" wrapText="1" indent="1"/>
    </xf>
    <xf numFmtId="0" fontId="32" fillId="6" borderId="10" xfId="0" applyFont="1" applyFill="1" applyBorder="1" applyAlignment="1">
      <alignment horizontal="center" vertical="center" wrapText="1"/>
    </xf>
    <xf numFmtId="0" fontId="80" fillId="0" borderId="1" xfId="0" applyFont="1" applyFill="1" applyBorder="1" applyAlignment="1">
      <alignment horizontal="left" vertical="center" indent="1"/>
    </xf>
    <xf numFmtId="0" fontId="53" fillId="0" borderId="5" xfId="0" applyFont="1" applyBorder="1" applyAlignment="1">
      <alignment horizontal="left" indent="1"/>
    </xf>
    <xf numFmtId="0" fontId="53" fillId="0" borderId="4" xfId="0" applyFont="1" applyBorder="1" applyAlignment="1">
      <alignment horizontal="left" indent="1"/>
    </xf>
    <xf numFmtId="0" fontId="3" fillId="0" borderId="1" xfId="0" applyFont="1" applyFill="1" applyBorder="1" applyAlignment="1">
      <alignment horizontal="left" vertical="center" indent="1"/>
    </xf>
    <xf numFmtId="0" fontId="41" fillId="13" borderId="7" xfId="0" quotePrefix="1" applyFont="1" applyFill="1" applyBorder="1" applyAlignment="1">
      <alignment horizontal="center" vertical="center" wrapText="1"/>
    </xf>
    <xf numFmtId="0" fontId="78" fillId="6" borderId="0" xfId="0" applyFont="1" applyFill="1" applyAlignment="1">
      <alignment horizontal="center"/>
    </xf>
    <xf numFmtId="0" fontId="82" fillId="6" borderId="0" xfId="0" applyFont="1" applyFill="1"/>
    <xf numFmtId="0" fontId="83" fillId="6" borderId="0" xfId="0" applyFont="1" applyFill="1" applyBorder="1" applyAlignment="1">
      <alignment horizontal="center" vertical="center" wrapText="1"/>
    </xf>
    <xf numFmtId="0" fontId="84" fillId="6" borderId="0" xfId="0" applyFont="1" applyFill="1" applyAlignment="1">
      <alignment horizontal="center"/>
    </xf>
    <xf numFmtId="0" fontId="0" fillId="6" borderId="0" xfId="0" applyFont="1" applyFill="1" applyAlignment="1">
      <alignment horizontal="center"/>
    </xf>
    <xf numFmtId="0" fontId="85" fillId="7" borderId="1" xfId="0" applyFont="1" applyFill="1" applyBorder="1" applyAlignment="1">
      <alignment horizontal="left" vertical="center"/>
    </xf>
    <xf numFmtId="0" fontId="0" fillId="7" borderId="1" xfId="0" applyFont="1" applyFill="1" applyBorder="1"/>
    <xf numFmtId="9" fontId="86" fillId="7"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54" fillId="3" borderId="1" xfId="0" applyFont="1" applyFill="1" applyBorder="1" applyAlignment="1">
      <alignment horizontal="left" vertical="center" wrapText="1" indent="1"/>
    </xf>
    <xf numFmtId="9" fontId="54" fillId="7" borderId="1" xfId="0" applyNumberFormat="1" applyFont="1" applyFill="1" applyBorder="1" applyAlignment="1">
      <alignment horizontal="center" vertical="center" wrapText="1"/>
    </xf>
    <xf numFmtId="0" fontId="17" fillId="0" borderId="0" xfId="0" applyFont="1" applyFill="1" applyAlignment="1">
      <alignment horizontal="left" vertical="center" indent="1"/>
    </xf>
    <xf numFmtId="165" fontId="64" fillId="6" borderId="1" xfId="0" applyNumberFormat="1" applyFont="1" applyFill="1" applyBorder="1" applyAlignment="1">
      <alignment horizontal="left" vertical="center" wrapText="1" indent="1"/>
    </xf>
    <xf numFmtId="0" fontId="39" fillId="0" borderId="1" xfId="0" applyFont="1" applyFill="1" applyBorder="1" applyAlignment="1">
      <alignment horizontal="left" vertical="center" wrapText="1" indent="1"/>
    </xf>
    <xf numFmtId="167" fontId="64" fillId="6" borderId="1" xfId="0" applyNumberFormat="1" applyFont="1" applyFill="1" applyBorder="1" applyAlignment="1">
      <alignment horizontal="left" vertical="center" wrapText="1" indent="1"/>
    </xf>
    <xf numFmtId="0" fontId="17" fillId="6" borderId="0" xfId="0" applyFont="1" applyFill="1" applyAlignment="1">
      <alignment horizontal="left" vertical="center" indent="1"/>
    </xf>
    <xf numFmtId="0" fontId="29" fillId="6" borderId="1" xfId="0" quotePrefix="1" applyFont="1" applyFill="1" applyBorder="1" applyAlignment="1">
      <alignment horizontal="left" vertical="center" wrapText="1"/>
    </xf>
    <xf numFmtId="0" fontId="29" fillId="0" borderId="1" xfId="0" quotePrefix="1" applyFont="1" applyFill="1" applyBorder="1" applyAlignment="1">
      <alignment horizontal="left" vertical="center" wrapText="1"/>
    </xf>
    <xf numFmtId="0" fontId="29" fillId="6" borderId="1" xfId="0" applyFont="1" applyFill="1" applyBorder="1" applyAlignment="1">
      <alignment horizontal="left" vertical="center" wrapText="1"/>
    </xf>
    <xf numFmtId="0" fontId="0" fillId="6" borderId="0" xfId="0" applyFill="1" applyAlignment="1">
      <alignment horizontal="left" vertical="top"/>
    </xf>
    <xf numFmtId="0" fontId="0" fillId="0" borderId="0" xfId="0" applyAlignment="1">
      <alignment horizontal="left" indent="1"/>
    </xf>
    <xf numFmtId="0" fontId="29" fillId="3" borderId="1" xfId="0" applyFont="1" applyFill="1" applyBorder="1" applyAlignment="1">
      <alignment horizontal="left" vertical="center" wrapText="1" indent="1"/>
    </xf>
    <xf numFmtId="0" fontId="61" fillId="6" borderId="0" xfId="0" applyFont="1" applyFill="1" applyAlignment="1">
      <alignment vertical="center" wrapText="1"/>
    </xf>
    <xf numFmtId="0" fontId="61" fillId="6" borderId="10" xfId="0" applyFont="1" applyFill="1" applyBorder="1" applyAlignment="1">
      <alignment vertical="center" wrapText="1"/>
    </xf>
    <xf numFmtId="0" fontId="88" fillId="6" borderId="10" xfId="0" applyFont="1" applyFill="1" applyBorder="1" applyAlignment="1">
      <alignment horizontal="center" vertical="center" wrapText="1"/>
    </xf>
    <xf numFmtId="9" fontId="29" fillId="5" borderId="1" xfId="0" applyNumberFormat="1" applyFont="1" applyFill="1" applyBorder="1" applyAlignment="1">
      <alignment horizontal="center" vertical="center" wrapText="1"/>
    </xf>
    <xf numFmtId="0" fontId="34" fillId="21" borderId="0" xfId="0" applyFont="1" applyFill="1" applyAlignment="1">
      <alignment horizontal="left" vertical="center" wrapText="1" indent="1"/>
    </xf>
    <xf numFmtId="0" fontId="74" fillId="0" borderId="1" xfId="0" applyFont="1" applyBorder="1" applyAlignment="1">
      <alignment horizontal="left" vertical="center" wrapText="1" indent="1"/>
    </xf>
    <xf numFmtId="0" fontId="74" fillId="21" borderId="11" xfId="0" applyFont="1" applyFill="1" applyBorder="1" applyAlignment="1">
      <alignment horizontal="left" vertical="center" wrapText="1" indent="1"/>
    </xf>
    <xf numFmtId="0" fontId="74" fillId="21" borderId="11" xfId="0" applyNumberFormat="1" applyFont="1" applyFill="1" applyBorder="1" applyAlignment="1">
      <alignment horizontal="left" vertical="center" wrapText="1" indent="1"/>
    </xf>
    <xf numFmtId="0" fontId="34" fillId="0" borderId="1" xfId="0" applyFont="1" applyBorder="1" applyAlignment="1">
      <alignment horizontal="left" vertical="top" wrapText="1" indent="1"/>
    </xf>
    <xf numFmtId="0" fontId="3" fillId="22" borderId="12" xfId="41" applyFont="1" applyFill="1" applyBorder="1"/>
    <xf numFmtId="0" fontId="3" fillId="22" borderId="8" xfId="41" applyFont="1" applyFill="1" applyBorder="1"/>
    <xf numFmtId="0" fontId="3" fillId="22" borderId="13" xfId="41" applyFont="1" applyFill="1" applyBorder="1"/>
    <xf numFmtId="0" fontId="3" fillId="22" borderId="0" xfId="41" applyFont="1" applyFill="1"/>
    <xf numFmtId="0" fontId="3" fillId="22" borderId="6" xfId="71" applyFont="1" applyFill="1" applyBorder="1"/>
    <xf numFmtId="0" fontId="3" fillId="22" borderId="15" xfId="41" applyFont="1" applyFill="1" applyBorder="1"/>
    <xf numFmtId="0" fontId="90" fillId="22" borderId="0" xfId="41" applyFont="1" applyFill="1"/>
    <xf numFmtId="0" fontId="3" fillId="22" borderId="6" xfId="41" applyFont="1" applyFill="1" applyBorder="1"/>
    <xf numFmtId="0" fontId="92" fillId="22" borderId="0" xfId="41" applyFont="1" applyFill="1" applyAlignment="1">
      <alignment horizontal="center"/>
    </xf>
    <xf numFmtId="0" fontId="3" fillId="22" borderId="6" xfId="41" applyFont="1" applyFill="1" applyBorder="1" applyAlignment="1">
      <alignment vertical="center"/>
    </xf>
    <xf numFmtId="0" fontId="3" fillId="22" borderId="0" xfId="41" applyFont="1" applyFill="1" applyAlignment="1">
      <alignment vertical="center"/>
    </xf>
    <xf numFmtId="0" fontId="3" fillId="22" borderId="15" xfId="41" applyFont="1" applyFill="1" applyBorder="1" applyAlignment="1">
      <alignment vertical="center"/>
    </xf>
    <xf numFmtId="0" fontId="3" fillId="22" borderId="9" xfId="41" applyFont="1" applyFill="1" applyBorder="1"/>
    <xf numFmtId="0" fontId="3" fillId="22" borderId="10" xfId="41" applyFont="1" applyFill="1" applyBorder="1"/>
    <xf numFmtId="0" fontId="3" fillId="22" borderId="14" xfId="41" applyFont="1" applyFill="1" applyBorder="1"/>
    <xf numFmtId="0" fontId="90" fillId="22" borderId="0" xfId="41" applyFont="1" applyFill="1" applyBorder="1" applyAlignment="1">
      <alignment vertical="center"/>
    </xf>
    <xf numFmtId="0" fontId="38" fillId="4" borderId="14" xfId="0" applyFont="1" applyFill="1" applyBorder="1" applyAlignment="1">
      <alignment horizontal="center" vertical="center"/>
    </xf>
    <xf numFmtId="15" fontId="39" fillId="0" borderId="14" xfId="0" applyNumberFormat="1" applyFont="1" applyBorder="1" applyAlignment="1">
      <alignment horizontal="center" vertical="center"/>
    </xf>
    <xf numFmtId="0" fontId="39" fillId="0" borderId="4" xfId="0" applyFont="1" applyBorder="1" applyAlignment="1">
      <alignment horizontal="center" vertical="center"/>
    </xf>
    <xf numFmtId="0" fontId="38" fillId="4" borderId="9" xfId="0" applyFont="1" applyFill="1" applyBorder="1" applyAlignment="1">
      <alignment horizontal="left" vertical="center" wrapText="1" indent="1"/>
    </xf>
    <xf numFmtId="0" fontId="39" fillId="0" borderId="9" xfId="0" applyFont="1" applyBorder="1" applyAlignment="1">
      <alignment horizontal="left" vertical="center" wrapText="1" indent="1"/>
    </xf>
    <xf numFmtId="0" fontId="0" fillId="0" borderId="0" xfId="0" applyAlignment="1">
      <alignment horizontal="left" vertical="center" wrapText="1" indent="1"/>
    </xf>
    <xf numFmtId="0" fontId="67" fillId="6" borderId="0" xfId="65" applyFont="1" applyFill="1" applyAlignment="1">
      <alignment vertical="center"/>
    </xf>
    <xf numFmtId="0" fontId="62" fillId="18" borderId="1" xfId="0" applyFont="1" applyFill="1" applyBorder="1" applyAlignment="1">
      <alignment horizontal="left" vertical="center" wrapText="1" indent="1"/>
    </xf>
    <xf numFmtId="0" fontId="29" fillId="3" borderId="1" xfId="0" applyFont="1" applyFill="1" applyBorder="1" applyAlignment="1">
      <alignment horizontal="left" vertical="center" wrapText="1" indent="1"/>
    </xf>
    <xf numFmtId="14" fontId="53" fillId="0" borderId="3" xfId="0" applyNumberFormat="1" applyFont="1" applyBorder="1" applyAlignment="1">
      <alignment horizontal="left" vertical="center" indent="1"/>
    </xf>
    <xf numFmtId="0" fontId="97" fillId="0" borderId="1" xfId="0" applyFont="1" applyFill="1" applyBorder="1" applyAlignment="1">
      <alignment vertical="top"/>
    </xf>
    <xf numFmtId="0" fontId="26" fillId="3" borderId="1" xfId="0" applyFont="1" applyFill="1" applyBorder="1" applyAlignment="1">
      <alignment horizontal="center" vertical="center"/>
    </xf>
    <xf numFmtId="0" fontId="78" fillId="6" borderId="0" xfId="0" applyFont="1" applyFill="1"/>
    <xf numFmtId="0" fontId="84" fillId="6" borderId="0" xfId="0" applyFont="1" applyFill="1"/>
    <xf numFmtId="0" fontId="98" fillId="6" borderId="0" xfId="0" applyFont="1" applyFill="1"/>
    <xf numFmtId="0" fontId="98" fillId="6" borderId="0" xfId="0" applyFont="1" applyFill="1" applyAlignment="1">
      <alignment horizontal="center"/>
    </xf>
    <xf numFmtId="0" fontId="99" fillId="6" borderId="0" xfId="0" applyFont="1" applyFill="1" applyBorder="1" applyAlignment="1">
      <alignment horizontal="center" vertical="center" wrapText="1"/>
    </xf>
    <xf numFmtId="0" fontId="58" fillId="6" borderId="0" xfId="0" applyFont="1" applyFill="1"/>
    <xf numFmtId="0" fontId="51" fillId="6" borderId="0" xfId="0" applyFont="1" applyFill="1"/>
    <xf numFmtId="0" fontId="51" fillId="6" borderId="0" xfId="0" applyFont="1" applyFill="1" applyAlignment="1">
      <alignment horizontal="center"/>
    </xf>
    <xf numFmtId="0" fontId="59" fillId="6" borderId="0" xfId="0" applyFont="1" applyFill="1" applyAlignment="1">
      <alignment horizontal="center"/>
    </xf>
    <xf numFmtId="0" fontId="60" fillId="6" borderId="0" xfId="0" applyFont="1" applyFill="1" applyAlignment="1">
      <alignment horizontal="center"/>
    </xf>
    <xf numFmtId="0" fontId="46" fillId="20" borderId="7" xfId="0" quotePrefix="1" applyFont="1" applyFill="1" applyBorder="1" applyAlignment="1">
      <alignment horizontal="left" vertical="center" wrapText="1" indent="1"/>
    </xf>
    <xf numFmtId="0" fontId="100" fillId="0" borderId="0" xfId="0" applyFont="1" applyFill="1" applyBorder="1" applyAlignment="1">
      <alignment vertical="top"/>
    </xf>
    <xf numFmtId="0" fontId="101" fillId="0" borderId="0" xfId="0" applyFont="1" applyFill="1" applyBorder="1" applyAlignment="1">
      <alignment vertical="top"/>
    </xf>
    <xf numFmtId="0" fontId="102" fillId="0" borderId="0" xfId="0" applyFont="1" applyFill="1" applyBorder="1" applyAlignment="1">
      <alignment horizontal="left" vertical="top"/>
    </xf>
    <xf numFmtId="0" fontId="103" fillId="0" borderId="0" xfId="0" applyFont="1" applyFill="1" applyBorder="1" applyAlignment="1">
      <alignment horizontal="left" vertical="top"/>
    </xf>
    <xf numFmtId="0" fontId="102" fillId="0" borderId="0" xfId="0" applyFont="1" applyFill="1" applyBorder="1" applyAlignment="1">
      <alignment vertical="top"/>
    </xf>
    <xf numFmtId="0" fontId="105" fillId="0" borderId="0" xfId="0" applyFont="1" applyBorder="1" applyAlignment="1">
      <alignment horizontal="left" vertical="center" wrapText="1"/>
    </xf>
    <xf numFmtId="0" fontId="106" fillId="0" borderId="0" xfId="0" applyFont="1" applyFill="1" applyBorder="1" applyAlignment="1">
      <alignment vertical="top"/>
    </xf>
    <xf numFmtId="0" fontId="107" fillId="0" borderId="0" xfId="0" applyFont="1" applyFill="1" applyBorder="1" applyAlignment="1">
      <alignment vertical="top"/>
    </xf>
    <xf numFmtId="0" fontId="97" fillId="3" borderId="1" xfId="0" applyFont="1" applyFill="1" applyBorder="1" applyAlignment="1">
      <alignment vertical="top"/>
    </xf>
    <xf numFmtId="0" fontId="105" fillId="0" borderId="0" xfId="0" applyFont="1" applyFill="1"/>
    <xf numFmtId="0" fontId="105" fillId="0" borderId="0" xfId="0" applyFont="1" applyFill="1" applyBorder="1" applyAlignment="1">
      <alignment horizontal="left" wrapText="1"/>
    </xf>
    <xf numFmtId="0" fontId="97" fillId="0" borderId="0" xfId="0" applyFont="1" applyFill="1" applyBorder="1" applyAlignment="1">
      <alignment vertical="top"/>
    </xf>
    <xf numFmtId="0" fontId="105" fillId="0" borderId="0" xfId="0" applyFont="1" applyBorder="1" applyAlignment="1">
      <alignment horizontal="left" wrapText="1"/>
    </xf>
    <xf numFmtId="0" fontId="105" fillId="0" borderId="0" xfId="0" applyFont="1"/>
    <xf numFmtId="0" fontId="28" fillId="0" borderId="1" xfId="0" quotePrefix="1" applyFont="1" applyBorder="1" applyAlignment="1">
      <alignment horizontal="left" vertical="top" wrapText="1" indent="1"/>
    </xf>
    <xf numFmtId="0" fontId="100" fillId="0" borderId="0" xfId="0" applyFont="1" applyFill="1" applyBorder="1" applyAlignment="1">
      <alignment horizontal="center" vertical="top"/>
    </xf>
    <xf numFmtId="0" fontId="102" fillId="0" borderId="0" xfId="0" applyFont="1" applyFill="1" applyBorder="1" applyAlignment="1">
      <alignment horizontal="center" vertical="top"/>
    </xf>
    <xf numFmtId="0" fontId="103" fillId="0" borderId="0" xfId="0" applyFont="1" applyFill="1" applyBorder="1" applyAlignment="1">
      <alignment horizontal="center" vertical="top"/>
    </xf>
    <xf numFmtId="0" fontId="105" fillId="0" borderId="0" xfId="0" applyFont="1" applyBorder="1" applyAlignment="1">
      <alignment horizontal="center" vertical="center" wrapText="1"/>
    </xf>
    <xf numFmtId="0" fontId="106" fillId="0" borderId="0" xfId="0" applyFont="1" applyFill="1" applyBorder="1" applyAlignment="1">
      <alignment horizontal="center" vertical="top"/>
    </xf>
    <xf numFmtId="0" fontId="97" fillId="3" borderId="3" xfId="0" applyFont="1" applyFill="1" applyBorder="1" applyAlignment="1">
      <alignment horizontal="center" vertical="top"/>
    </xf>
    <xf numFmtId="0" fontId="97" fillId="0" borderId="3" xfId="0" applyFont="1" applyFill="1" applyBorder="1" applyAlignment="1">
      <alignment horizontal="center" vertical="top"/>
    </xf>
    <xf numFmtId="0" fontId="0" fillId="0" borderId="0" xfId="0" applyAlignment="1">
      <alignment horizontal="center"/>
    </xf>
    <xf numFmtId="0" fontId="105" fillId="0" borderId="0" xfId="0" applyFont="1" applyFill="1" applyAlignment="1">
      <alignment horizontal="center"/>
    </xf>
    <xf numFmtId="0" fontId="105" fillId="0" borderId="0" xfId="0" applyFont="1" applyFill="1" applyBorder="1" applyAlignment="1">
      <alignment horizontal="center" wrapText="1"/>
    </xf>
    <xf numFmtId="0" fontId="97" fillId="0" borderId="0" xfId="0" applyFont="1" applyFill="1" applyBorder="1" applyAlignment="1">
      <alignment horizontal="center" vertical="top"/>
    </xf>
    <xf numFmtId="0" fontId="105" fillId="0" borderId="0" xfId="0" applyFont="1" applyBorder="1" applyAlignment="1">
      <alignment horizontal="center" wrapText="1"/>
    </xf>
    <xf numFmtId="0" fontId="105" fillId="0" borderId="0" xfId="0" applyFont="1" applyAlignment="1">
      <alignment horizontal="center"/>
    </xf>
    <xf numFmtId="0" fontId="39" fillId="0" borderId="0" xfId="0" applyFont="1" applyFill="1" applyAlignment="1">
      <alignment horizontal="center" vertical="center"/>
    </xf>
    <xf numFmtId="0" fontId="87" fillId="0" borderId="3" xfId="0" applyFont="1" applyFill="1" applyBorder="1" applyAlignment="1">
      <alignment horizontal="left" vertical="top" wrapText="1" indent="1"/>
    </xf>
    <xf numFmtId="0" fontId="87" fillId="0" borderId="3" xfId="0" quotePrefix="1" applyFont="1" applyFill="1" applyBorder="1" applyAlignment="1">
      <alignment horizontal="left" vertical="top" wrapText="1" indent="1"/>
    </xf>
    <xf numFmtId="0" fontId="39" fillId="0" borderId="1" xfId="0" quotePrefix="1" applyFont="1" applyFill="1" applyBorder="1" applyAlignment="1">
      <alignment horizontal="left" vertical="center" wrapText="1" indent="1"/>
    </xf>
    <xf numFmtId="0" fontId="87" fillId="0" borderId="1" xfId="0" applyFont="1" applyBorder="1" applyAlignment="1">
      <alignment horizontal="left" vertical="top" wrapText="1" indent="1"/>
    </xf>
    <xf numFmtId="0" fontId="87" fillId="0" borderId="1" xfId="0" quotePrefix="1" applyFont="1" applyFill="1" applyBorder="1" applyAlignment="1">
      <alignment horizontal="left" vertical="top" wrapText="1" indent="1"/>
    </xf>
    <xf numFmtId="0" fontId="71" fillId="0" borderId="0" xfId="0" applyFont="1" applyFill="1" applyAlignment="1">
      <alignment horizontal="center" vertical="center" wrapText="1"/>
    </xf>
    <xf numFmtId="0" fontId="71" fillId="0" borderId="0" xfId="0" applyFont="1" applyFill="1" applyAlignment="1">
      <alignment horizontal="right" vertical="center" wrapText="1" indent="2"/>
    </xf>
    <xf numFmtId="0" fontId="42" fillId="3" borderId="1" xfId="0" applyFont="1" applyFill="1" applyBorder="1" applyAlignment="1">
      <alignment horizontal="center" vertical="center" wrapText="1"/>
    </xf>
    <xf numFmtId="0" fontId="74" fillId="3" borderId="1" xfId="0" applyFont="1" applyFill="1" applyBorder="1" applyAlignment="1">
      <alignment horizontal="center" vertical="center" wrapText="1"/>
    </xf>
    <xf numFmtId="165" fontId="71" fillId="7" borderId="1" xfId="0" applyNumberFormat="1" applyFont="1" applyFill="1" applyBorder="1" applyAlignment="1">
      <alignment horizontal="center" vertical="center" wrapText="1"/>
    </xf>
    <xf numFmtId="0" fontId="41" fillId="13" borderId="9" xfId="0" quotePrefix="1" applyFont="1" applyFill="1" applyBorder="1" applyAlignment="1">
      <alignment horizontal="center" vertical="center" wrapText="1"/>
    </xf>
    <xf numFmtId="0" fontId="41" fillId="25" borderId="1" xfId="0" applyFont="1" applyFill="1" applyBorder="1" applyAlignment="1">
      <alignment horizontal="center" vertical="center" wrapText="1"/>
    </xf>
    <xf numFmtId="0" fontId="39" fillId="16" borderId="1" xfId="0" applyFont="1" applyFill="1" applyBorder="1" applyAlignment="1">
      <alignment horizontal="left" vertical="center" wrapText="1" indent="1"/>
    </xf>
    <xf numFmtId="0" fontId="29" fillId="0" borderId="1" xfId="0" quotePrefix="1" applyFont="1" applyFill="1" applyBorder="1" applyAlignment="1">
      <alignment horizontal="left" vertical="center" wrapText="1" indent="1"/>
    </xf>
    <xf numFmtId="0" fontId="29" fillId="3" borderId="1" xfId="0" applyFont="1" applyFill="1" applyBorder="1" applyAlignment="1">
      <alignment horizontal="left" vertical="center" wrapText="1" indent="2"/>
    </xf>
    <xf numFmtId="1" fontId="18" fillId="7" borderId="1" xfId="0" applyNumberFormat="1" applyFont="1" applyFill="1" applyBorder="1" applyAlignment="1">
      <alignment horizontal="center" vertical="center" wrapText="1"/>
    </xf>
    <xf numFmtId="9" fontId="42" fillId="12" borderId="1" xfId="0" applyNumberFormat="1" applyFont="1" applyFill="1" applyBorder="1" applyAlignment="1">
      <alignment horizontal="center" vertical="center" wrapText="1"/>
    </xf>
    <xf numFmtId="0" fontId="110" fillId="4" borderId="0" xfId="0" applyFont="1" applyFill="1" applyBorder="1" applyAlignment="1">
      <alignment horizontal="left" vertical="center" indent="1"/>
    </xf>
    <xf numFmtId="0" fontId="0" fillId="0" borderId="0" xfId="0" applyAlignment="1">
      <alignment vertical="center"/>
    </xf>
    <xf numFmtId="0" fontId="0" fillId="0" borderId="17" xfId="0" applyBorder="1" applyAlignment="1">
      <alignment horizontal="center" vertical="center"/>
    </xf>
    <xf numFmtId="0" fontId="0" fillId="0" borderId="18" xfId="0" applyBorder="1" applyAlignment="1">
      <alignment horizontal="center" vertical="center"/>
    </xf>
    <xf numFmtId="0" fontId="40" fillId="5" borderId="16" xfId="0" applyFont="1" applyFill="1" applyBorder="1" applyAlignment="1">
      <alignment horizontal="center" vertical="center"/>
    </xf>
    <xf numFmtId="0" fontId="40" fillId="5" borderId="19" xfId="0" applyFont="1" applyFill="1" applyBorder="1" applyAlignment="1">
      <alignment horizontal="left" vertical="center" indent="1"/>
    </xf>
    <xf numFmtId="0" fontId="0" fillId="0" borderId="20" xfId="0" applyBorder="1" applyAlignment="1">
      <alignment horizontal="left" vertical="center" wrapText="1" indent="1"/>
    </xf>
    <xf numFmtId="0" fontId="0" fillId="0" borderId="21" xfId="0" applyBorder="1" applyAlignment="1">
      <alignment horizontal="left" vertical="center" wrapText="1" indent="1"/>
    </xf>
    <xf numFmtId="0" fontId="0" fillId="0" borderId="20" xfId="0" applyBorder="1" applyAlignment="1">
      <alignment horizontal="left" vertical="top" wrapText="1" indent="1"/>
    </xf>
    <xf numFmtId="0" fontId="0" fillId="0" borderId="21" xfId="0" applyBorder="1" applyAlignment="1">
      <alignment horizontal="left" vertical="top" wrapText="1" indent="1"/>
    </xf>
    <xf numFmtId="0" fontId="0" fillId="0" borderId="0" xfId="0" applyAlignment="1">
      <alignment horizontal="center" vertical="center" wrapText="1"/>
    </xf>
    <xf numFmtId="0" fontId="40" fillId="5"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57" fillId="0" borderId="20" xfId="70" applyBorder="1" applyAlignment="1">
      <alignment horizontal="left" vertical="top" wrapText="1" indent="1"/>
    </xf>
    <xf numFmtId="0" fontId="57" fillId="0" borderId="21" xfId="70" applyBorder="1" applyAlignment="1">
      <alignment horizontal="left" vertical="top" wrapText="1" indent="1"/>
    </xf>
    <xf numFmtId="0" fontId="67" fillId="0" borderId="0" xfId="0" applyFont="1" applyAlignment="1">
      <alignment horizontal="left" vertical="center"/>
    </xf>
    <xf numFmtId="14" fontId="39" fillId="0" borderId="4" xfId="0" applyNumberFormat="1" applyFont="1" applyBorder="1" applyAlignment="1">
      <alignment horizontal="center" vertical="center"/>
    </xf>
    <xf numFmtId="0" fontId="90" fillId="22" borderId="0" xfId="41" applyFont="1" applyFill="1" applyBorder="1" applyAlignment="1">
      <alignment horizontal="left" vertical="center" indent="1"/>
    </xf>
    <xf numFmtId="0" fontId="3" fillId="22" borderId="0" xfId="41" applyFont="1" applyFill="1" applyBorder="1" applyAlignment="1">
      <alignment vertical="center"/>
    </xf>
    <xf numFmtId="0" fontId="3" fillId="22" borderId="0" xfId="41" applyFont="1" applyFill="1" applyBorder="1"/>
    <xf numFmtId="0" fontId="3" fillId="22" borderId="0" xfId="41" applyFont="1" applyFill="1" applyBorder="1" applyAlignment="1">
      <alignment horizontal="right" vertical="center" indent="1"/>
    </xf>
    <xf numFmtId="0" fontId="3" fillId="22" borderId="0" xfId="41" applyFont="1" applyFill="1" applyBorder="1" applyAlignment="1">
      <alignment horizontal="left" vertical="center" indent="1"/>
    </xf>
    <xf numFmtId="0" fontId="112" fillId="6" borderId="0" xfId="72" applyFont="1" applyFill="1" applyAlignment="1">
      <alignment horizontal="left" vertical="center"/>
    </xf>
    <xf numFmtId="0" fontId="3" fillId="6" borderId="0" xfId="66" applyFont="1" applyFill="1"/>
    <xf numFmtId="0" fontId="3" fillId="6" borderId="0" xfId="73" applyFont="1" applyFill="1"/>
    <xf numFmtId="0" fontId="3" fillId="6" borderId="0" xfId="66" applyFont="1" applyFill="1" applyAlignment="1">
      <alignment horizontal="center" vertical="center"/>
    </xf>
    <xf numFmtId="0" fontId="3" fillId="6" borderId="0" xfId="72" applyFont="1" applyFill="1" applyAlignment="1">
      <alignment vertical="center"/>
    </xf>
    <xf numFmtId="0" fontId="57" fillId="6" borderId="0" xfId="70" applyFill="1" applyAlignment="1" applyProtection="1"/>
    <xf numFmtId="0" fontId="35" fillId="6" borderId="0" xfId="73" applyFont="1" applyFill="1" applyAlignment="1">
      <alignment horizontal="center"/>
    </xf>
    <xf numFmtId="0" fontId="35" fillId="6" borderId="0" xfId="72" applyFont="1" applyFill="1" applyAlignment="1">
      <alignment vertical="center"/>
    </xf>
    <xf numFmtId="2" fontId="21" fillId="15" borderId="1" xfId="0" applyNumberFormat="1" applyFont="1" applyFill="1" applyBorder="1" applyAlignment="1">
      <alignment horizontal="center" vertical="center"/>
    </xf>
    <xf numFmtId="2" fontId="17" fillId="17" borderId="1" xfId="0" applyNumberFormat="1" applyFont="1" applyFill="1" applyBorder="1" applyAlignment="1">
      <alignment horizontal="center" vertical="center" wrapText="1"/>
    </xf>
    <xf numFmtId="2" fontId="22" fillId="2" borderId="1" xfId="0" applyNumberFormat="1" applyFont="1" applyFill="1" applyBorder="1" applyAlignment="1">
      <alignment horizontal="center" vertical="center"/>
    </xf>
    <xf numFmtId="2" fontId="23" fillId="17" borderId="1" xfId="0" applyNumberFormat="1" applyFont="1" applyFill="1" applyBorder="1" applyAlignment="1">
      <alignment horizontal="center" vertical="center"/>
    </xf>
    <xf numFmtId="2" fontId="66" fillId="19" borderId="1" xfId="0" applyNumberFormat="1" applyFont="1" applyFill="1" applyBorder="1" applyAlignment="1">
      <alignment horizontal="center" vertical="center" wrapText="1"/>
    </xf>
    <xf numFmtId="2" fontId="66" fillId="7" borderId="1" xfId="0" applyNumberFormat="1" applyFont="1" applyFill="1" applyBorder="1" applyAlignment="1">
      <alignment horizontal="center" vertical="center" wrapText="1"/>
    </xf>
    <xf numFmtId="2" fontId="41" fillId="25" borderId="1" xfId="0" applyNumberFormat="1" applyFont="1" applyFill="1" applyBorder="1" applyAlignment="1">
      <alignment horizontal="center" vertical="center" wrapText="1"/>
    </xf>
    <xf numFmtId="2" fontId="41" fillId="13" borderId="7" xfId="0" applyNumberFormat="1" applyFont="1" applyFill="1" applyBorder="1" applyAlignment="1">
      <alignment horizontal="center" vertical="center" wrapText="1"/>
    </xf>
    <xf numFmtId="2" fontId="44" fillId="25" borderId="1" xfId="0" applyNumberFormat="1" applyFont="1" applyFill="1" applyBorder="1" applyAlignment="1">
      <alignment horizontal="center" vertical="center"/>
    </xf>
    <xf numFmtId="2" fontId="26" fillId="6" borderId="1" xfId="0" applyNumberFormat="1" applyFont="1" applyFill="1" applyBorder="1" applyAlignment="1">
      <alignment horizontal="center" vertical="center"/>
    </xf>
    <xf numFmtId="2" fontId="44" fillId="14" borderId="1" xfId="0" applyNumberFormat="1" applyFont="1" applyFill="1" applyBorder="1" applyAlignment="1">
      <alignment horizontal="center" vertical="center"/>
    </xf>
    <xf numFmtId="2" fontId="63" fillId="18" borderId="1" xfId="0" applyNumberFormat="1" applyFont="1" applyFill="1" applyBorder="1" applyAlignment="1">
      <alignment horizontal="center" vertical="center"/>
    </xf>
    <xf numFmtId="2" fontId="46" fillId="16" borderId="1" xfId="0" applyNumberFormat="1" applyFont="1" applyFill="1" applyBorder="1" applyAlignment="1">
      <alignment horizontal="center" vertical="center"/>
    </xf>
    <xf numFmtId="2" fontId="42" fillId="18" borderId="1" xfId="0" applyNumberFormat="1" applyFont="1" applyFill="1" applyBorder="1" applyAlignment="1">
      <alignment horizontal="center" vertical="center"/>
    </xf>
    <xf numFmtId="2" fontId="114" fillId="13" borderId="7" xfId="0" applyNumberFormat="1" applyFont="1" applyFill="1" applyBorder="1" applyAlignment="1">
      <alignment horizontal="center" vertical="center" wrapText="1"/>
    </xf>
    <xf numFmtId="0" fontId="46" fillId="11" borderId="1" xfId="0" applyFont="1" applyFill="1" applyBorder="1" applyAlignment="1">
      <alignment horizontal="left" vertical="center" wrapText="1" indent="1"/>
    </xf>
    <xf numFmtId="0" fontId="39" fillId="11" borderId="1" xfId="0" applyFont="1" applyFill="1" applyBorder="1" applyAlignment="1">
      <alignment horizontal="left" vertical="center" wrapText="1" indent="1"/>
    </xf>
    <xf numFmtId="0" fontId="88" fillId="6" borderId="0" xfId="0" applyFont="1" applyFill="1" applyAlignment="1">
      <alignment vertical="center" wrapText="1"/>
    </xf>
    <xf numFmtId="0" fontId="70" fillId="6" borderId="0" xfId="0" applyFont="1" applyFill="1" applyBorder="1" applyAlignment="1">
      <alignment vertical="center"/>
    </xf>
    <xf numFmtId="0" fontId="70" fillId="6" borderId="15" xfId="0" applyFont="1" applyFill="1" applyBorder="1" applyAlignment="1">
      <alignment vertical="center"/>
    </xf>
    <xf numFmtId="0" fontId="70" fillId="6" borderId="10" xfId="0" applyFont="1" applyFill="1" applyBorder="1" applyAlignment="1">
      <alignment vertical="center"/>
    </xf>
    <xf numFmtId="0" fontId="70" fillId="6" borderId="14" xfId="0" applyFont="1" applyFill="1" applyBorder="1" applyAlignment="1">
      <alignment vertical="center"/>
    </xf>
    <xf numFmtId="0" fontId="115" fillId="0" borderId="0" xfId="0" applyFont="1" applyAlignment="1">
      <alignment vertical="center"/>
    </xf>
    <xf numFmtId="0" fontId="29" fillId="0" borderId="1" xfId="0" applyFont="1" applyFill="1" applyBorder="1" applyAlignment="1">
      <alignment horizontal="left" vertical="center" wrapText="1"/>
    </xf>
    <xf numFmtId="0" fontId="28" fillId="0" borderId="0" xfId="0" quotePrefix="1" applyFont="1" applyAlignment="1">
      <alignment horizontal="left" vertical="center" wrapText="1" indent="1"/>
    </xf>
    <xf numFmtId="0" fontId="39" fillId="0" borderId="3" xfId="0" applyFont="1" applyBorder="1" applyAlignment="1">
      <alignment horizontal="left" vertical="top" wrapText="1" indent="1"/>
    </xf>
    <xf numFmtId="0" fontId="3" fillId="0" borderId="1" xfId="0" quotePrefix="1" applyFont="1" applyFill="1" applyBorder="1" applyAlignment="1">
      <alignment horizontal="left" vertical="top" wrapText="1"/>
    </xf>
    <xf numFmtId="0" fontId="3" fillId="6" borderId="1" xfId="0" quotePrefix="1" applyFont="1" applyFill="1" applyBorder="1" applyAlignment="1">
      <alignment horizontal="left" vertical="top" wrapText="1"/>
    </xf>
    <xf numFmtId="0" fontId="1" fillId="6" borderId="0" xfId="65" applyFont="1" applyFill="1"/>
    <xf numFmtId="0" fontId="19" fillId="6" borderId="0" xfId="65" applyFont="1" applyFill="1" applyAlignment="1">
      <alignment vertical="center"/>
    </xf>
    <xf numFmtId="0" fontId="1" fillId="6" borderId="0" xfId="65" applyFont="1" applyFill="1" applyAlignment="1">
      <alignment vertical="center"/>
    </xf>
    <xf numFmtId="0" fontId="19" fillId="6" borderId="0" xfId="65" applyFont="1" applyFill="1" applyAlignment="1">
      <alignment horizontal="left" vertical="center"/>
    </xf>
    <xf numFmtId="0" fontId="119" fillId="6" borderId="0" xfId="65" applyFont="1" applyFill="1" applyAlignment="1">
      <alignment vertical="center"/>
    </xf>
    <xf numFmtId="0" fontId="1" fillId="6" borderId="0" xfId="65" applyFont="1" applyFill="1" applyAlignment="1">
      <alignment horizontal="left" vertical="center"/>
    </xf>
    <xf numFmtId="0" fontId="29" fillId="3" borderId="1" xfId="0" applyFont="1" applyFill="1" applyBorder="1" applyAlignment="1">
      <alignment horizontal="left" vertical="center" wrapText="1" indent="1"/>
    </xf>
    <xf numFmtId="0" fontId="121" fillId="27" borderId="7" xfId="0" applyFont="1" applyFill="1" applyBorder="1" applyAlignment="1">
      <alignment horizontal="left" vertical="center" wrapText="1" indent="1"/>
    </xf>
    <xf numFmtId="0" fontId="122" fillId="6" borderId="10" xfId="0" applyFont="1" applyFill="1" applyBorder="1" applyAlignment="1">
      <alignment vertical="center" wrapText="1"/>
    </xf>
    <xf numFmtId="0" fontId="0" fillId="6" borderId="0" xfId="65" quotePrefix="1" applyFont="1" applyFill="1" applyAlignment="1">
      <alignment vertical="center"/>
    </xf>
    <xf numFmtId="0" fontId="0" fillId="6" borderId="0" xfId="65" applyFont="1" applyFill="1" applyAlignment="1">
      <alignment horizontal="left" vertical="center"/>
    </xf>
    <xf numFmtId="0" fontId="31" fillId="19" borderId="3" xfId="0" applyFont="1" applyFill="1" applyBorder="1" applyAlignment="1">
      <alignment horizontal="center" vertical="center" wrapText="1"/>
    </xf>
    <xf numFmtId="0" fontId="64" fillId="28" borderId="1" xfId="0" applyFont="1" applyFill="1" applyBorder="1" applyAlignment="1">
      <alignment horizontal="center" vertical="center"/>
    </xf>
    <xf numFmtId="0" fontId="39" fillId="28" borderId="1" xfId="0" applyFont="1" applyFill="1" applyBorder="1" applyAlignment="1">
      <alignment horizontal="center" vertical="center" wrapText="1"/>
    </xf>
    <xf numFmtId="1" fontId="63" fillId="18" borderId="1" xfId="0" applyNumberFormat="1" applyFont="1" applyFill="1" applyBorder="1" applyAlignment="1">
      <alignment horizontal="center" vertical="center"/>
    </xf>
    <xf numFmtId="0" fontId="62" fillId="19" borderId="1" xfId="0" applyFont="1" applyFill="1" applyBorder="1" applyAlignment="1">
      <alignment horizontal="center" vertical="center" wrapText="1"/>
    </xf>
    <xf numFmtId="0" fontId="94" fillId="23" borderId="13" xfId="41" applyFont="1" applyFill="1" applyBorder="1" applyAlignment="1">
      <alignment horizontal="center" vertical="center"/>
    </xf>
    <xf numFmtId="0" fontId="94" fillId="23" borderId="2" xfId="41" applyFont="1" applyFill="1" applyBorder="1" applyAlignment="1">
      <alignment horizontal="center" vertical="center"/>
    </xf>
    <xf numFmtId="168" fontId="90" fillId="23" borderId="2" xfId="41" quotePrefix="1" applyNumberFormat="1" applyFont="1" applyFill="1" applyBorder="1" applyAlignment="1">
      <alignment horizontal="center" vertical="center"/>
    </xf>
    <xf numFmtId="168" fontId="90" fillId="23" borderId="2" xfId="41" applyNumberFormat="1" applyFont="1" applyFill="1" applyBorder="1" applyAlignment="1">
      <alignment horizontal="center" vertical="center"/>
    </xf>
    <xf numFmtId="168" fontId="90" fillId="23" borderId="12" xfId="41" applyNumberFormat="1" applyFont="1" applyFill="1" applyBorder="1" applyAlignment="1">
      <alignment horizontal="center" vertical="center"/>
    </xf>
    <xf numFmtId="0" fontId="91" fillId="22" borderId="6" xfId="41" applyFont="1" applyFill="1" applyBorder="1" applyAlignment="1">
      <alignment horizontal="center"/>
    </xf>
    <xf numFmtId="0" fontId="91" fillId="22" borderId="0" xfId="41" applyFont="1" applyFill="1" applyAlignment="1">
      <alignment horizontal="center"/>
    </xf>
    <xf numFmtId="0" fontId="91" fillId="22" borderId="15" xfId="41" applyFont="1" applyFill="1" applyBorder="1" applyAlignment="1">
      <alignment horizontal="center"/>
    </xf>
    <xf numFmtId="0" fontId="93" fillId="22" borderId="6" xfId="41" applyFont="1" applyFill="1" applyBorder="1" applyAlignment="1">
      <alignment horizontal="center" vertical="center" wrapText="1"/>
    </xf>
    <xf numFmtId="0" fontId="93" fillId="22" borderId="0" xfId="41" applyFont="1" applyFill="1" applyBorder="1" applyAlignment="1">
      <alignment horizontal="center" vertical="center" wrapText="1"/>
    </xf>
    <xf numFmtId="0" fontId="93" fillId="22" borderId="15" xfId="41" applyFont="1" applyFill="1" applyBorder="1" applyAlignment="1">
      <alignment horizontal="center" vertical="center" wrapText="1"/>
    </xf>
    <xf numFmtId="0" fontId="94" fillId="23" borderId="14" xfId="41" applyFont="1" applyFill="1" applyBorder="1" applyAlignment="1">
      <alignment horizontal="center" vertical="center"/>
    </xf>
    <xf numFmtId="0" fontId="94" fillId="23" borderId="7" xfId="41" applyFont="1" applyFill="1" applyBorder="1" applyAlignment="1">
      <alignment horizontal="center" vertical="center"/>
    </xf>
    <xf numFmtId="0" fontId="90" fillId="23" borderId="7" xfId="41" applyFont="1" applyFill="1" applyBorder="1" applyAlignment="1">
      <alignment horizontal="center" vertical="center"/>
    </xf>
    <xf numFmtId="0" fontId="90" fillId="23" borderId="9" xfId="41" applyFont="1" applyFill="1" applyBorder="1" applyAlignment="1">
      <alignment horizontal="center" vertical="center"/>
    </xf>
    <xf numFmtId="0" fontId="94" fillId="23" borderId="4" xfId="41" applyFont="1" applyFill="1" applyBorder="1" applyAlignment="1">
      <alignment horizontal="center" vertical="center"/>
    </xf>
    <xf numFmtId="0" fontId="94" fillId="23" borderId="1" xfId="41" applyFont="1" applyFill="1" applyBorder="1" applyAlignment="1">
      <alignment horizontal="center" vertical="center"/>
    </xf>
    <xf numFmtId="49" fontId="90" fillId="23" borderId="1" xfId="41" applyNumberFormat="1" applyFont="1" applyFill="1" applyBorder="1" applyAlignment="1">
      <alignment horizontal="center" vertical="center"/>
    </xf>
    <xf numFmtId="49" fontId="90" fillId="23" borderId="3" xfId="41" applyNumberFormat="1" applyFont="1" applyFill="1" applyBorder="1" applyAlignment="1">
      <alignment horizontal="center" vertical="center"/>
    </xf>
    <xf numFmtId="0" fontId="0" fillId="6" borderId="0" xfId="65" quotePrefix="1" applyFont="1" applyFill="1" applyAlignment="1">
      <alignment horizontal="left" vertical="center" wrapText="1"/>
    </xf>
    <xf numFmtId="0" fontId="1" fillId="6" borderId="0" xfId="65" applyFont="1" applyFill="1" applyAlignment="1">
      <alignment horizontal="left" vertical="center" wrapText="1"/>
    </xf>
    <xf numFmtId="0" fontId="27" fillId="4" borderId="2" xfId="0" applyFont="1" applyFill="1" applyBorder="1" applyAlignment="1">
      <alignment horizontal="left" vertical="center" wrapText="1" indent="1"/>
    </xf>
    <xf numFmtId="0" fontId="27" fillId="4" borderId="7" xfId="0" applyFont="1" applyFill="1" applyBorder="1" applyAlignment="1">
      <alignment horizontal="left" vertical="center" wrapText="1" indent="1"/>
    </xf>
    <xf numFmtId="0" fontId="27" fillId="4" borderId="2"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89" fillId="6" borderId="0" xfId="0" applyFont="1" applyFill="1" applyAlignment="1">
      <alignment horizontal="left" vertical="center" wrapText="1" indent="1"/>
    </xf>
    <xf numFmtId="0" fontId="89" fillId="6" borderId="10" xfId="0" applyFont="1" applyFill="1" applyBorder="1" applyAlignment="1">
      <alignment horizontal="left" vertical="center" wrapText="1" indent="1"/>
    </xf>
    <xf numFmtId="0" fontId="27" fillId="12" borderId="2" xfId="0" applyFont="1" applyFill="1" applyBorder="1" applyAlignment="1">
      <alignment horizontal="left" vertical="center" wrapText="1" indent="1"/>
    </xf>
    <xf numFmtId="0" fontId="27" fillId="12" borderId="7" xfId="0" applyFont="1" applyFill="1" applyBorder="1" applyAlignment="1">
      <alignment horizontal="left" vertical="center" wrapText="1" indent="1"/>
    </xf>
    <xf numFmtId="0" fontId="88" fillId="6" borderId="10" xfId="0" applyFont="1" applyFill="1" applyBorder="1" applyAlignment="1">
      <alignment horizontal="left" vertical="top" wrapText="1" indent="1"/>
    </xf>
    <xf numFmtId="0" fontId="77" fillId="19" borderId="3" xfId="0" applyFont="1" applyFill="1" applyBorder="1" applyAlignment="1">
      <alignment horizontal="center" vertical="center" wrapText="1"/>
    </xf>
    <xf numFmtId="0" fontId="77" fillId="19" borderId="4" xfId="0" applyFont="1" applyFill="1" applyBorder="1" applyAlignment="1">
      <alignment horizontal="center" vertical="center" wrapText="1"/>
    </xf>
    <xf numFmtId="0" fontId="73" fillId="19" borderId="12" xfId="0" applyFont="1" applyFill="1" applyBorder="1" applyAlignment="1">
      <alignment horizontal="center" vertical="center" wrapText="1"/>
    </xf>
    <xf numFmtId="0" fontId="73" fillId="19" borderId="8" xfId="0" applyFont="1" applyFill="1" applyBorder="1" applyAlignment="1">
      <alignment horizontal="center" vertical="center"/>
    </xf>
    <xf numFmtId="0" fontId="73" fillId="19" borderId="13" xfId="0" applyFont="1" applyFill="1" applyBorder="1" applyAlignment="1">
      <alignment horizontal="center" vertical="center"/>
    </xf>
    <xf numFmtId="0" fontId="73" fillId="19" borderId="9" xfId="0" applyFont="1" applyFill="1" applyBorder="1" applyAlignment="1">
      <alignment horizontal="center" vertical="center"/>
    </xf>
    <xf numFmtId="0" fontId="73" fillId="19" borderId="10" xfId="0" applyFont="1" applyFill="1" applyBorder="1" applyAlignment="1">
      <alignment horizontal="center" vertical="center"/>
    </xf>
    <xf numFmtId="0" fontId="73" fillId="19" borderId="14" xfId="0" applyFont="1" applyFill="1" applyBorder="1" applyAlignment="1">
      <alignment horizontal="center" vertical="center"/>
    </xf>
    <xf numFmtId="165" fontId="71" fillId="7" borderId="1" xfId="0" applyNumberFormat="1" applyFont="1" applyFill="1" applyBorder="1" applyAlignment="1">
      <alignment horizontal="center" vertical="center" wrapText="1"/>
    </xf>
    <xf numFmtId="0" fontId="61" fillId="19" borderId="1" xfId="0" applyFont="1" applyFill="1" applyBorder="1" applyAlignment="1">
      <alignment horizontal="center" vertical="center" wrapText="1"/>
    </xf>
    <xf numFmtId="2" fontId="66" fillId="19" borderId="3" xfId="0" applyNumberFormat="1" applyFont="1" applyFill="1" applyBorder="1" applyAlignment="1">
      <alignment horizontal="center" vertical="center" wrapText="1"/>
    </xf>
    <xf numFmtId="2" fontId="66" fillId="19" borderId="5" xfId="0" applyNumberFormat="1" applyFont="1" applyFill="1" applyBorder="1" applyAlignment="1">
      <alignment horizontal="center" vertical="center" wrapText="1"/>
    </xf>
    <xf numFmtId="165" fontId="71" fillId="7" borderId="12" xfId="0" applyNumberFormat="1" applyFont="1" applyFill="1" applyBorder="1" applyAlignment="1">
      <alignment horizontal="center" vertical="center" wrapText="1"/>
    </xf>
    <xf numFmtId="165" fontId="71" fillId="7" borderId="8" xfId="0" applyNumberFormat="1" applyFont="1" applyFill="1" applyBorder="1" applyAlignment="1">
      <alignment horizontal="center" vertical="center" wrapText="1"/>
    </xf>
    <xf numFmtId="165" fontId="71" fillId="7" borderId="9" xfId="0" applyNumberFormat="1" applyFont="1" applyFill="1" applyBorder="1" applyAlignment="1">
      <alignment horizontal="center" vertical="center" wrapText="1"/>
    </xf>
    <xf numFmtId="165" fontId="71" fillId="7" borderId="10" xfId="0" applyNumberFormat="1" applyFont="1" applyFill="1" applyBorder="1" applyAlignment="1">
      <alignment horizontal="center" vertical="center" wrapText="1"/>
    </xf>
    <xf numFmtId="2" fontId="74" fillId="19" borderId="2" xfId="0" applyNumberFormat="1" applyFont="1" applyFill="1" applyBorder="1" applyAlignment="1">
      <alignment horizontal="center" vertical="center" wrapText="1"/>
    </xf>
    <xf numFmtId="2" fontId="74" fillId="19" borderId="11" xfId="0" applyNumberFormat="1" applyFont="1" applyFill="1" applyBorder="1" applyAlignment="1">
      <alignment horizontal="center" vertical="center" wrapText="1"/>
    </xf>
    <xf numFmtId="2" fontId="74" fillId="19" borderId="7" xfId="0" applyNumberFormat="1" applyFont="1" applyFill="1" applyBorder="1" applyAlignment="1">
      <alignment horizontal="center" vertical="center" wrapText="1"/>
    </xf>
    <xf numFmtId="0" fontId="74" fillId="19" borderId="3" xfId="0" applyFont="1" applyFill="1" applyBorder="1" applyAlignment="1">
      <alignment horizontal="center" vertical="center" wrapText="1"/>
    </xf>
    <xf numFmtId="0" fontId="74" fillId="19" borderId="5" xfId="0" applyFont="1" applyFill="1" applyBorder="1" applyAlignment="1">
      <alignment horizontal="center" vertical="center" wrapText="1"/>
    </xf>
    <xf numFmtId="0" fontId="74" fillId="19" borderId="4" xfId="0" applyFont="1" applyFill="1" applyBorder="1" applyAlignment="1">
      <alignment horizontal="center" vertical="center" wrapText="1"/>
    </xf>
    <xf numFmtId="0" fontId="41" fillId="13" borderId="1" xfId="0" applyFont="1" applyFill="1" applyBorder="1" applyAlignment="1">
      <alignment horizontal="center" vertical="center" wrapText="1"/>
    </xf>
    <xf numFmtId="0" fontId="41" fillId="13" borderId="1" xfId="0" applyFont="1" applyFill="1" applyBorder="1" applyAlignment="1">
      <alignment horizontal="left" vertical="center" wrapText="1" indent="1"/>
    </xf>
    <xf numFmtId="0" fontId="113" fillId="24" borderId="3" xfId="0" applyFont="1" applyFill="1" applyBorder="1" applyAlignment="1">
      <alignment horizontal="center" vertical="center" wrapText="1"/>
    </xf>
    <xf numFmtId="0" fontId="113" fillId="24" borderId="4" xfId="0" applyFont="1" applyFill="1" applyBorder="1" applyAlignment="1">
      <alignment horizontal="center" vertical="center" wrapText="1"/>
    </xf>
    <xf numFmtId="0" fontId="41" fillId="13" borderId="3" xfId="0" applyFont="1" applyFill="1" applyBorder="1" applyAlignment="1">
      <alignment horizontal="center" vertical="center" wrapText="1"/>
    </xf>
    <xf numFmtId="0" fontId="41" fillId="13" borderId="4" xfId="0" applyFont="1" applyFill="1" applyBorder="1" applyAlignment="1">
      <alignment horizontal="center" vertical="center" wrapText="1"/>
    </xf>
    <xf numFmtId="0" fontId="76" fillId="24" borderId="3" xfId="0" applyFont="1" applyFill="1" applyBorder="1" applyAlignment="1">
      <alignment horizontal="center" vertical="center" wrapText="1"/>
    </xf>
    <xf numFmtId="0" fontId="76" fillId="24" borderId="5" xfId="0" applyFont="1" applyFill="1" applyBorder="1" applyAlignment="1">
      <alignment horizontal="center" vertical="center" wrapText="1"/>
    </xf>
    <xf numFmtId="0" fontId="76" fillId="24" borderId="4" xfId="0" applyFont="1" applyFill="1" applyBorder="1" applyAlignment="1">
      <alignment horizontal="center" vertical="center" wrapText="1"/>
    </xf>
    <xf numFmtId="0" fontId="29" fillId="3" borderId="3" xfId="0" applyFont="1" applyFill="1" applyBorder="1" applyAlignment="1">
      <alignment horizontal="left" vertical="center" wrapText="1" indent="1"/>
    </xf>
    <xf numFmtId="0" fontId="29" fillId="3" borderId="5" xfId="0" applyFont="1" applyFill="1" applyBorder="1" applyAlignment="1">
      <alignment horizontal="left" vertical="center" wrapText="1" indent="1"/>
    </xf>
    <xf numFmtId="0" fontId="29" fillId="3" borderId="4" xfId="0" applyFont="1" applyFill="1" applyBorder="1" applyAlignment="1">
      <alignment horizontal="left" vertical="center" wrapText="1" indent="1"/>
    </xf>
    <xf numFmtId="0" fontId="116" fillId="26" borderId="0" xfId="0" applyFont="1" applyFill="1" applyBorder="1" applyAlignment="1">
      <alignment horizontal="center" vertical="center"/>
    </xf>
    <xf numFmtId="0" fontId="67" fillId="4" borderId="3" xfId="0" applyFont="1" applyFill="1" applyBorder="1" applyAlignment="1">
      <alignment horizontal="left" vertical="center" indent="1"/>
    </xf>
    <xf numFmtId="0" fontId="67" fillId="4" borderId="5" xfId="0" applyFont="1" applyFill="1" applyBorder="1" applyAlignment="1">
      <alignment horizontal="left" vertical="center" indent="1"/>
    </xf>
    <xf numFmtId="0" fontId="67" fillId="4" borderId="4" xfId="0" applyFont="1" applyFill="1" applyBorder="1" applyAlignment="1">
      <alignment horizontal="left" vertical="center" indent="1"/>
    </xf>
    <xf numFmtId="0" fontId="25" fillId="19" borderId="1" xfId="0" applyFont="1" applyFill="1" applyBorder="1" applyAlignment="1">
      <alignment horizontal="center" vertical="center" wrapText="1"/>
    </xf>
    <xf numFmtId="0" fontId="54" fillId="6" borderId="10" xfId="0" applyFont="1" applyFill="1" applyBorder="1" applyAlignment="1">
      <alignment horizontal="left" vertical="center" wrapText="1" indent="1"/>
    </xf>
    <xf numFmtId="2" fontId="79" fillId="6" borderId="10" xfId="0" applyNumberFormat="1" applyFont="1" applyFill="1" applyBorder="1" applyAlignment="1">
      <alignment vertical="top" wrapText="1"/>
    </xf>
    <xf numFmtId="0" fontId="79" fillId="6" borderId="10" xfId="0" applyFont="1" applyFill="1" applyBorder="1" applyAlignment="1">
      <alignment vertical="top" wrapText="1"/>
    </xf>
    <xf numFmtId="0" fontId="79" fillId="6" borderId="10" xfId="0" applyFont="1" applyFill="1" applyBorder="1" applyAlignment="1">
      <alignment horizontal="left" vertical="top" wrapText="1" indent="1"/>
    </xf>
    <xf numFmtId="0" fontId="74" fillId="6" borderId="1" xfId="0" applyFont="1" applyFill="1" applyBorder="1" applyAlignment="1">
      <alignment horizontal="center" vertical="center" wrapText="1"/>
    </xf>
    <xf numFmtId="0" fontId="74" fillId="19" borderId="1" xfId="0" applyFont="1" applyFill="1" applyBorder="1" applyAlignment="1">
      <alignment horizontal="center" vertical="center" wrapText="1"/>
    </xf>
    <xf numFmtId="0" fontId="41" fillId="16" borderId="1" xfId="0" applyFont="1" applyFill="1" applyBorder="1" applyAlignment="1">
      <alignment horizontal="center" vertical="center" wrapText="1"/>
    </xf>
    <xf numFmtId="0" fontId="74" fillId="24" borderId="3" xfId="0" applyFont="1" applyFill="1" applyBorder="1" applyAlignment="1">
      <alignment horizontal="center" vertical="center" wrapText="1"/>
    </xf>
    <xf numFmtId="0" fontId="74" fillId="24" borderId="5" xfId="0" applyFont="1" applyFill="1" applyBorder="1" applyAlignment="1">
      <alignment horizontal="center" vertical="center" wrapText="1"/>
    </xf>
    <xf numFmtId="0" fontId="74" fillId="24" borderId="4" xfId="0" applyFont="1" applyFill="1" applyBorder="1" applyAlignment="1">
      <alignment horizontal="center" vertical="center" wrapText="1"/>
    </xf>
    <xf numFmtId="0" fontId="21" fillId="13" borderId="1" xfId="0" applyFont="1" applyFill="1" applyBorder="1" applyAlignment="1">
      <alignment horizontal="left" vertical="center" wrapText="1" indent="1"/>
    </xf>
    <xf numFmtId="0" fontId="29" fillId="3" borderId="1" xfId="0" applyFont="1" applyFill="1" applyBorder="1" applyAlignment="1">
      <alignment horizontal="left" vertical="center" wrapText="1" indent="1"/>
    </xf>
    <xf numFmtId="0" fontId="48" fillId="7" borderId="1" xfId="0" applyFont="1" applyFill="1" applyBorder="1" applyAlignment="1">
      <alignment horizontal="left" vertical="center"/>
    </xf>
    <xf numFmtId="0" fontId="49" fillId="7" borderId="3" xfId="0" applyFont="1" applyFill="1" applyBorder="1" applyAlignment="1">
      <alignment horizontal="left" vertical="center" indent="1"/>
    </xf>
    <xf numFmtId="0" fontId="49" fillId="7" borderId="4" xfId="0" applyFont="1" applyFill="1" applyBorder="1" applyAlignment="1">
      <alignment horizontal="left" vertical="center" indent="1"/>
    </xf>
    <xf numFmtId="0" fontId="55" fillId="0" borderId="2" xfId="0" applyFont="1" applyBorder="1" applyAlignment="1">
      <alignment horizontal="center" vertical="center" wrapText="1"/>
    </xf>
    <xf numFmtId="0" fontId="55" fillId="0" borderId="11" xfId="0" applyFont="1" applyBorder="1" applyAlignment="1">
      <alignment horizontal="center" vertical="center" wrapText="1"/>
    </xf>
    <xf numFmtId="0" fontId="55" fillId="0" borderId="7" xfId="0" applyFont="1" applyBorder="1" applyAlignment="1">
      <alignment horizontal="center" vertical="center" wrapText="1"/>
    </xf>
    <xf numFmtId="0" fontId="81" fillId="0" borderId="3" xfId="0" applyFont="1" applyFill="1" applyBorder="1" applyAlignment="1">
      <alignment horizontal="left" vertical="top" wrapText="1" indent="1"/>
    </xf>
    <xf numFmtId="0" fontId="81" fillId="0" borderId="5" xfId="0" applyFont="1" applyFill="1" applyBorder="1" applyAlignment="1">
      <alignment horizontal="left" vertical="top" indent="1"/>
    </xf>
    <xf numFmtId="0" fontId="81" fillId="0" borderId="4" xfId="0" applyFont="1" applyFill="1" applyBorder="1" applyAlignment="1">
      <alignment horizontal="left" vertical="top" indent="1"/>
    </xf>
    <xf numFmtId="0" fontId="111" fillId="6" borderId="0" xfId="0" applyFont="1" applyFill="1" applyBorder="1" applyAlignment="1">
      <alignment horizontal="left" vertical="center" indent="1"/>
    </xf>
    <xf numFmtId="0" fontId="111" fillId="6" borderId="15" xfId="0" applyFont="1" applyFill="1" applyBorder="1" applyAlignment="1">
      <alignment horizontal="left" vertical="center" indent="1"/>
    </xf>
    <xf numFmtId="0" fontId="111" fillId="6" borderId="10" xfId="0" applyFont="1" applyFill="1" applyBorder="1" applyAlignment="1">
      <alignment horizontal="left" vertical="center" indent="1"/>
    </xf>
    <xf numFmtId="0" fontId="111" fillId="6" borderId="14" xfId="0" applyFont="1" applyFill="1" applyBorder="1" applyAlignment="1">
      <alignment horizontal="left" vertical="center" indent="1"/>
    </xf>
    <xf numFmtId="0" fontId="109" fillId="19" borderId="12" xfId="0" applyFont="1" applyFill="1" applyBorder="1" applyAlignment="1">
      <alignment horizontal="center" vertical="center"/>
    </xf>
    <xf numFmtId="0" fontId="109" fillId="19" borderId="8" xfId="0" applyFont="1" applyFill="1" applyBorder="1" applyAlignment="1">
      <alignment horizontal="center" vertical="center"/>
    </xf>
    <xf numFmtId="0" fontId="109" fillId="19" borderId="13" xfId="0" applyFont="1" applyFill="1" applyBorder="1" applyAlignment="1">
      <alignment horizontal="center" vertical="center"/>
    </xf>
    <xf numFmtId="0" fontId="109" fillId="19" borderId="9" xfId="0" applyFont="1" applyFill="1" applyBorder="1" applyAlignment="1">
      <alignment horizontal="center" vertical="center"/>
    </xf>
    <xf numFmtId="0" fontId="109" fillId="19" borderId="10" xfId="0" applyFont="1" applyFill="1" applyBorder="1" applyAlignment="1">
      <alignment horizontal="center" vertical="center"/>
    </xf>
    <xf numFmtId="0" fontId="109" fillId="19" borderId="14" xfId="0" applyFont="1" applyFill="1" applyBorder="1" applyAlignment="1">
      <alignment horizontal="center" vertical="center"/>
    </xf>
    <xf numFmtId="0" fontId="109" fillId="19" borderId="3" xfId="0" applyFont="1" applyFill="1" applyBorder="1" applyAlignment="1">
      <alignment horizontal="center" vertical="center" wrapText="1"/>
    </xf>
    <xf numFmtId="0" fontId="109" fillId="19" borderId="4" xfId="0" applyFont="1" applyFill="1" applyBorder="1" applyAlignment="1">
      <alignment horizontal="center" vertical="center" wrapText="1"/>
    </xf>
    <xf numFmtId="0" fontId="105" fillId="0" borderId="1" xfId="0" applyFont="1" applyBorder="1" applyAlignment="1">
      <alignment horizontal="left" vertical="center" wrapText="1"/>
    </xf>
    <xf numFmtId="0" fontId="105" fillId="0" borderId="1" xfId="0" applyFont="1" applyFill="1" applyBorder="1" applyAlignment="1">
      <alignment horizontal="left" wrapText="1"/>
    </xf>
    <xf numFmtId="0" fontId="102" fillId="0" borderId="1" xfId="0" applyFont="1" applyBorder="1" applyAlignment="1">
      <alignment horizontal="left" vertical="center" wrapText="1"/>
    </xf>
    <xf numFmtId="0" fontId="108" fillId="0" borderId="1" xfId="0" applyFont="1" applyFill="1" applyBorder="1" applyAlignment="1">
      <alignment horizontal="left" wrapText="1"/>
    </xf>
    <xf numFmtId="0" fontId="107" fillId="0" borderId="3" xfId="0" applyFont="1" applyFill="1" applyBorder="1" applyAlignment="1">
      <alignment horizontal="left" vertical="top" wrapText="1"/>
    </xf>
    <xf numFmtId="0" fontId="107" fillId="0" borderId="4" xfId="0" applyFont="1" applyFill="1" applyBorder="1" applyAlignment="1">
      <alignment horizontal="left" vertical="top" wrapText="1"/>
    </xf>
    <xf numFmtId="0" fontId="102" fillId="0" borderId="3" xfId="0" applyFont="1" applyFill="1" applyBorder="1" applyAlignment="1">
      <alignment horizontal="left" wrapText="1"/>
    </xf>
    <xf numFmtId="0" fontId="102" fillId="0" borderId="5" xfId="0" applyFont="1" applyFill="1" applyBorder="1" applyAlignment="1">
      <alignment horizontal="left" wrapText="1"/>
    </xf>
    <xf numFmtId="0" fontId="102" fillId="0" borderId="4" xfId="0" applyFont="1" applyFill="1" applyBorder="1" applyAlignment="1">
      <alignment horizontal="left" wrapText="1"/>
    </xf>
    <xf numFmtId="0" fontId="101" fillId="0" borderId="3" xfId="0" applyFont="1" applyFill="1" applyBorder="1" applyAlignment="1">
      <alignment horizontal="left" wrapText="1"/>
    </xf>
    <xf numFmtId="0" fontId="101" fillId="0" borderId="5" xfId="0" applyFont="1" applyFill="1" applyBorder="1" applyAlignment="1">
      <alignment horizontal="left" wrapText="1"/>
    </xf>
    <xf numFmtId="0" fontId="102" fillId="0" borderId="1" xfId="0" applyFont="1" applyFill="1" applyBorder="1" applyAlignment="1">
      <alignment horizontal="left" wrapText="1"/>
    </xf>
    <xf numFmtId="0" fontId="102" fillId="0" borderId="3" xfId="0" applyFont="1" applyBorder="1" applyAlignment="1">
      <alignment horizontal="left" vertical="center" wrapText="1"/>
    </xf>
    <xf numFmtId="0" fontId="102" fillId="0" borderId="5" xfId="0" applyFont="1" applyBorder="1" applyAlignment="1">
      <alignment horizontal="left" vertical="center" wrapText="1"/>
    </xf>
    <xf numFmtId="0" fontId="102" fillId="0" borderId="4" xfId="0" applyFont="1" applyBorder="1" applyAlignment="1">
      <alignment horizontal="left" vertical="center" wrapText="1"/>
    </xf>
    <xf numFmtId="0" fontId="97" fillId="3" borderId="3" xfId="0" applyFont="1" applyFill="1" applyBorder="1" applyAlignment="1">
      <alignment horizontal="left" vertical="top"/>
    </xf>
    <xf numFmtId="0" fontId="97" fillId="3" borderId="4" xfId="0" applyFont="1" applyFill="1" applyBorder="1" applyAlignment="1">
      <alignment horizontal="left" vertical="top"/>
    </xf>
    <xf numFmtId="0" fontId="103" fillId="0" borderId="0" xfId="0" applyFont="1" applyFill="1" applyBorder="1" applyAlignment="1">
      <alignment horizontal="left" vertical="top"/>
    </xf>
    <xf numFmtId="0" fontId="102" fillId="5" borderId="3" xfId="0" applyFont="1" applyFill="1" applyBorder="1" applyAlignment="1">
      <alignment horizontal="left" vertical="center" wrapText="1"/>
    </xf>
    <xf numFmtId="0" fontId="102" fillId="5" borderId="5" xfId="0" applyFont="1" applyFill="1" applyBorder="1" applyAlignment="1">
      <alignment horizontal="left" vertical="center" wrapText="1"/>
    </xf>
    <xf numFmtId="0" fontId="102" fillId="5" borderId="4" xfId="0" applyFont="1" applyFill="1" applyBorder="1" applyAlignment="1">
      <alignment horizontal="left" vertical="center" wrapText="1"/>
    </xf>
    <xf numFmtId="0" fontId="102" fillId="0" borderId="3" xfId="0" applyFont="1" applyFill="1" applyBorder="1" applyAlignment="1">
      <alignment horizontal="left" vertical="center" wrapText="1"/>
    </xf>
    <xf numFmtId="0" fontId="102" fillId="0" borderId="5" xfId="0" applyFont="1" applyFill="1" applyBorder="1" applyAlignment="1">
      <alignment horizontal="left" vertical="center" wrapText="1"/>
    </xf>
    <xf numFmtId="0" fontId="102" fillId="0" borderId="4" xfId="0" applyFont="1" applyFill="1" applyBorder="1" applyAlignment="1">
      <alignment horizontal="left" vertical="center" wrapText="1"/>
    </xf>
    <xf numFmtId="0" fontId="102" fillId="0" borderId="1" xfId="0" applyFont="1" applyFill="1" applyBorder="1" applyAlignment="1">
      <alignment horizontal="left" vertical="top" wrapText="1"/>
    </xf>
    <xf numFmtId="0" fontId="101" fillId="0" borderId="1" xfId="0" applyFont="1" applyFill="1" applyBorder="1" applyAlignment="1">
      <alignment horizontal="left" vertical="top" wrapText="1"/>
    </xf>
    <xf numFmtId="0" fontId="102" fillId="0" borderId="1" xfId="0" applyFont="1" applyFill="1" applyBorder="1" applyAlignment="1">
      <alignment horizontal="left" vertical="top"/>
    </xf>
    <xf numFmtId="0" fontId="101" fillId="0" borderId="1" xfId="0" applyFont="1" applyFill="1" applyBorder="1" applyAlignment="1">
      <alignment horizontal="left" vertical="top"/>
    </xf>
    <xf numFmtId="0" fontId="62" fillId="3" borderId="2" xfId="0" applyFont="1" applyFill="1" applyBorder="1" applyAlignment="1">
      <alignment horizontal="center" vertical="center" wrapText="1"/>
    </xf>
    <xf numFmtId="0" fontId="62" fillId="3" borderId="11" xfId="0" applyFont="1" applyFill="1" applyBorder="1" applyAlignment="1">
      <alignment horizontal="center" vertical="center" wrapText="1"/>
    </xf>
    <xf numFmtId="0" fontId="62" fillId="3" borderId="7" xfId="0" applyFont="1" applyFill="1" applyBorder="1" applyAlignment="1">
      <alignment horizontal="center" vertical="center" wrapText="1"/>
    </xf>
    <xf numFmtId="0" fontId="42" fillId="7" borderId="2" xfId="0" applyFont="1" applyFill="1" applyBorder="1" applyAlignment="1">
      <alignment horizontal="left" vertical="center" wrapText="1" indent="1"/>
    </xf>
    <xf numFmtId="0" fontId="42" fillId="7" borderId="11" xfId="0" applyFont="1" applyFill="1" applyBorder="1" applyAlignment="1">
      <alignment horizontal="left" vertical="center" wrapText="1" indent="1"/>
    </xf>
    <xf numFmtId="0" fontId="42" fillId="7" borderId="7" xfId="0" applyFont="1" applyFill="1" applyBorder="1" applyAlignment="1">
      <alignment horizontal="left" vertical="center" wrapText="1" indent="1"/>
    </xf>
    <xf numFmtId="0" fontId="42" fillId="7" borderId="1" xfId="0" applyFont="1" applyFill="1" applyBorder="1" applyAlignment="1">
      <alignment horizontal="left" vertical="center" wrapText="1" indent="1"/>
    </xf>
    <xf numFmtId="0" fontId="62" fillId="7" borderId="2" xfId="0" applyFont="1" applyFill="1" applyBorder="1" applyAlignment="1">
      <alignment horizontal="left" vertical="center" wrapText="1" indent="1"/>
    </xf>
    <xf numFmtId="0" fontId="62" fillId="7" borderId="11" xfId="0" applyFont="1" applyFill="1" applyBorder="1" applyAlignment="1">
      <alignment horizontal="left" vertical="center" wrapText="1" indent="1"/>
    </xf>
    <xf numFmtId="0" fontId="62" fillId="7" borderId="7" xfId="0" applyFont="1" applyFill="1" applyBorder="1" applyAlignment="1">
      <alignment horizontal="left" vertical="center" wrapText="1" indent="1"/>
    </xf>
  </cellXfs>
  <cellStyles count="74">
    <cellStyle name="40% - アクセント 5 2" xfId="11"/>
    <cellStyle name="Bad 2" xfId="21"/>
    <cellStyle name="Comma" xfId="69" builtinId="3"/>
    <cellStyle name="Comma [0] 2" xfId="22"/>
    <cellStyle name="Comma [0] 2 2" xfId="28"/>
    <cellStyle name="Comma [0] 2 2 2" xfId="29"/>
    <cellStyle name="Comma [0] 2 3" xfId="30"/>
    <cellStyle name="Comma 2" xfId="5"/>
    <cellStyle name="Comma 2 2" xfId="32"/>
    <cellStyle name="Comma 2 2 2" xfId="33"/>
    <cellStyle name="Comma 2 3" xfId="34"/>
    <cellStyle name="Comma 2 4" xfId="35"/>
    <cellStyle name="Comma 2 5" xfId="31"/>
    <cellStyle name="Comma 2 6" xfId="67"/>
    <cellStyle name="Comma 3" xfId="3"/>
    <cellStyle name="Heading 1 2" xfId="15"/>
    <cellStyle name="Hyperlink" xfId="70" builtinId="8"/>
    <cellStyle name="Hyperlink 2" xfId="19"/>
    <cellStyle name="Hyperlink 2 2 3" xfId="36"/>
    <cellStyle name="Normal" xfId="0" builtinId="0"/>
    <cellStyle name="Normal 10" xfId="37"/>
    <cellStyle name="Normal 101" xfId="38"/>
    <cellStyle name="Normal 102" xfId="39"/>
    <cellStyle name="Normal 11" xfId="65"/>
    <cellStyle name="Normal 12" xfId="73"/>
    <cellStyle name="Normal 2" xfId="6"/>
    <cellStyle name="Normal 2 10" xfId="40"/>
    <cellStyle name="Normal 2 2" xfId="4"/>
    <cellStyle name="Normal 2 2 2" xfId="41"/>
    <cellStyle name="Normal 2 2 3" xfId="16"/>
    <cellStyle name="Normal 2 2 4" xfId="72"/>
    <cellStyle name="Normal 2 3" xfId="23"/>
    <cellStyle name="Normal 2 3 2" xfId="42"/>
    <cellStyle name="Normal 2 4" xfId="43"/>
    <cellStyle name="Normal 2 5" xfId="44"/>
    <cellStyle name="Normal 2 5 2" xfId="45"/>
    <cellStyle name="Normal 2 6" xfId="14"/>
    <cellStyle name="Normal 29" xfId="46"/>
    <cellStyle name="Normal 29 2" xfId="47"/>
    <cellStyle name="Normal 29 2 2" xfId="48"/>
    <cellStyle name="Normal 29 3" xfId="49"/>
    <cellStyle name="Normal 3" xfId="7"/>
    <cellStyle name="Normal 3 2" xfId="50"/>
    <cellStyle name="Normal 3 2 2" xfId="51"/>
    <cellStyle name="Normal 3 3" xfId="52"/>
    <cellStyle name="Normal 3 4" xfId="24"/>
    <cellStyle name="Normal 4" xfId="2"/>
    <cellStyle name="Normal 4 2" xfId="26"/>
    <cellStyle name="Normal 5" xfId="53"/>
    <cellStyle name="Normal 5 2" xfId="54"/>
    <cellStyle name="Normal 5 2 2" xfId="55"/>
    <cellStyle name="Normal 5 3" xfId="56"/>
    <cellStyle name="Normal 5 4" xfId="66"/>
    <cellStyle name="Normal 6" xfId="25"/>
    <cellStyle name="Normal 7" xfId="57"/>
    <cellStyle name="Normal 8" xfId="64"/>
    <cellStyle name="Normal 9" xfId="58"/>
    <cellStyle name="Normal 9 2" xfId="59"/>
    <cellStyle name="Normal_Guideline_Process tailoring" xfId="71"/>
    <cellStyle name="Note 2" xfId="17"/>
    <cellStyle name="Percent" xfId="1" builtinId="5"/>
    <cellStyle name="Percent 2" xfId="18"/>
    <cellStyle name="Percent 2 2" xfId="20"/>
    <cellStyle name="Percent 2 3" xfId="60"/>
    <cellStyle name="Percent 2 3 2" xfId="61"/>
    <cellStyle name="Percent 2 4" xfId="62"/>
    <cellStyle name="Percent 2 5" xfId="68"/>
    <cellStyle name="Percent 3" xfId="27"/>
    <cellStyle name="Percent 53" xfId="63"/>
    <cellStyle name="標準 10 3" xfId="10"/>
    <cellStyle name="標準 2" xfId="9"/>
    <cellStyle name="標準 2 2" xfId="12"/>
    <cellStyle name="標準 8 3" xfId="13"/>
    <cellStyle name="標準_Sheet1" xfId="8"/>
  </cellStyles>
  <dxfs count="131">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6E6E"/>
        </patternFill>
      </fill>
    </dxf>
    <dxf>
      <fill>
        <patternFill>
          <bgColor theme="9" tint="0.59996337778862885"/>
        </patternFill>
      </fill>
    </dxf>
    <dxf>
      <fill>
        <patternFill>
          <bgColor rgb="FFFF6E6E"/>
        </patternFill>
      </fill>
    </dxf>
    <dxf>
      <fill>
        <patternFill>
          <bgColor theme="9" tint="0.59996337778862885"/>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ill>
        <patternFill>
          <bgColor theme="7" tint="0.59996337778862885"/>
        </patternFill>
      </fill>
    </dxf>
    <dxf>
      <fill>
        <patternFill>
          <bgColor rgb="FFFF7C80"/>
        </patternFill>
      </fill>
    </dxf>
    <dxf>
      <fill>
        <patternFill>
          <bgColor theme="9" tint="0.59996337778862885"/>
        </patternFill>
      </fill>
    </dxf>
    <dxf>
      <fill>
        <patternFill>
          <bgColor rgb="FFFF6E6E"/>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6E6E"/>
        </patternFill>
      </fill>
    </dxf>
    <dxf>
      <fill>
        <patternFill>
          <bgColor theme="9" tint="0.59996337778862885"/>
        </patternFill>
      </fill>
    </dxf>
    <dxf>
      <fill>
        <patternFill>
          <bgColor rgb="FFFF6E6E"/>
        </patternFill>
      </fill>
    </dxf>
    <dxf>
      <fill>
        <patternFill>
          <bgColor theme="9" tint="0.59996337778862885"/>
        </patternFill>
      </fill>
    </dxf>
  </dxfs>
  <tableStyles count="0" defaultTableStyle="TableStyleMedium2" defaultPivotStyle="PivotStyleLight16"/>
  <colors>
    <mruColors>
      <color rgb="FFBA8CDC"/>
      <color rgb="FFC55A11"/>
      <color rgb="FFEEB500"/>
      <color rgb="FFC9C9C9"/>
      <color rgb="FFD5D5D5"/>
      <color rgb="FFCBA9E5"/>
      <color rgb="FFFF7C80"/>
      <color rgb="FF0000FF"/>
      <color rgb="FFFF9B9B"/>
      <color rgb="FFFF9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193783415479235"/>
          <c:y val="0.23033603152366119"/>
          <c:w val="0.5593870560616151"/>
          <c:h val="0.84747976188978613"/>
        </c:manualLayout>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9FB8-492C-B3AD-A92FB05C72E7}"/>
              </c:ext>
            </c:extLst>
          </c:dPt>
          <c:dPt>
            <c:idx val="1"/>
            <c:bubble3D val="0"/>
            <c:spPr>
              <a:solidFill>
                <a:srgbClr val="FF7C80"/>
              </a:solidFill>
              <a:ln w="19050">
                <a:solidFill>
                  <a:schemeClr val="lt1"/>
                </a:solidFill>
              </a:ln>
              <a:effectLst/>
            </c:spPr>
            <c:extLst xmlns:c16r2="http://schemas.microsoft.com/office/drawing/2015/06/chart">
              <c:ext xmlns:c16="http://schemas.microsoft.com/office/drawing/2014/chart" uri="{C3380CC4-5D6E-409C-BE32-E72D297353CC}">
                <c16:uniqueId val="{00000003-9FB8-492C-B3AD-A92FB05C72E7}"/>
              </c:ext>
            </c:extLst>
          </c:dPt>
          <c:dPt>
            <c:idx val="2"/>
            <c:bubble3D val="0"/>
            <c:spPr>
              <a:solidFill>
                <a:srgbClr val="00CC99"/>
              </a:solidFill>
              <a:ln w="19050">
                <a:solidFill>
                  <a:schemeClr val="lt1"/>
                </a:solidFill>
              </a:ln>
              <a:effectLst/>
            </c:spPr>
            <c:extLst xmlns:c16r2="http://schemas.microsoft.com/office/drawing/2015/06/chart">
              <c:ext xmlns:c16="http://schemas.microsoft.com/office/drawing/2014/chart" uri="{C3380CC4-5D6E-409C-BE32-E72D297353CC}">
                <c16:uniqueId val="{00000005-9FB8-492C-B3AD-A92FB05C72E7}"/>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9FB8-492C-B3AD-A92FB05C72E7}"/>
              </c:ext>
            </c:extLst>
          </c:dPt>
          <c:dPt>
            <c:idx val="4"/>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9-9FB8-492C-B3AD-A92FB05C72E7}"/>
              </c:ext>
            </c:extLst>
          </c:dPt>
          <c:dLbls>
            <c:dLbl>
              <c:idx val="0"/>
              <c:layout>
                <c:manualLayout>
                  <c:x val="2.2139543902999874E-2"/>
                  <c:y val="2.9660656628890735E-2"/>
                </c:manualLayout>
              </c:layout>
              <c:tx>
                <c:rich>
                  <a:bodyPr/>
                  <a:lstStyle/>
                  <a:p>
                    <a:fld id="{237CD033-F1BA-45FC-9D3C-D961856308E7}" type="CATEGORYNAME">
                      <a:rPr lang="en-US" sz="1400"/>
                      <a:pPr/>
                      <a:t>[CATEGORY NAME]</a:t>
                    </a:fld>
                    <a:r>
                      <a:rPr lang="en-US" sz="1400"/>
                      <a:t>
</a:t>
                    </a:r>
                    <a:fld id="{296BA687-1109-4FA4-B075-6307F79769B6}" type="PERCENTAGE">
                      <a:rPr lang="en-US" sz="1400" b="1"/>
                      <a:pPr/>
                      <a:t>[PERCENTAGE]</a:t>
                    </a:fld>
                    <a:endParaRPr lang="en-US" sz="1400"/>
                  </a:p>
                </c:rich>
              </c:tx>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9FB8-492C-B3AD-A92FB05C72E7}"/>
                </c:ext>
                <c:ext xmlns:c15="http://schemas.microsoft.com/office/drawing/2012/chart" uri="{CE6537A1-D6FC-4f65-9D91-7224C49458BB}">
                  <c15:layout>
                    <c:manualLayout>
                      <c:w val="0.22826730051094105"/>
                      <c:h val="0.19227704653493802"/>
                    </c:manualLayout>
                  </c15:layout>
                  <c15:dlblFieldTable/>
                  <c15:showDataLabelsRange val="0"/>
                </c:ext>
              </c:extLst>
            </c:dLbl>
            <c:dLbl>
              <c:idx val="1"/>
              <c:layout>
                <c:manualLayout>
                  <c:x val="2.5124124193643311E-2"/>
                  <c:y val="-5.2901723014085172E-3"/>
                </c:manualLayout>
              </c:layout>
              <c:tx>
                <c:rich>
                  <a:bodyPr/>
                  <a:lstStyle/>
                  <a:p>
                    <a:fld id="{E729CFED-653C-45F4-BA99-B2C73DC32A2B}" type="CATEGORYNAME">
                      <a:rPr lang="en-US" sz="1400"/>
                      <a:pPr/>
                      <a:t>[CATEGORY NAME]</a:t>
                    </a:fld>
                    <a:r>
                      <a:rPr lang="en-US" sz="1400"/>
                      <a:t>
</a:t>
                    </a:r>
                    <a:fld id="{3CB9AF44-D278-4199-A6F5-A8FA94AF153D}" type="PERCENTAGE">
                      <a:rPr lang="en-US" sz="1400" b="1"/>
                      <a:pPr/>
                      <a:t>[PERCENTAGE]</a:t>
                    </a:fld>
                    <a:endParaRPr lang="en-US" sz="1400"/>
                  </a:p>
                </c:rich>
              </c:tx>
              <c:showLegendKey val="0"/>
              <c:showVal val="0"/>
              <c:showCatName val="1"/>
              <c:showSerName val="0"/>
              <c:showPercent val="1"/>
              <c:showBubbleSize val="0"/>
              <c:extLst>
                <c:ext xmlns:c15="http://schemas.microsoft.com/office/drawing/2012/chart" uri="{CE6537A1-D6FC-4f65-9D91-7224C49458BB}">
                  <c15:layout>
                    <c:manualLayout>
                      <c:w val="0.23732658988926777"/>
                      <c:h val="0.14926446447574224"/>
                    </c:manualLayout>
                  </c15:layout>
                  <c15:dlblFieldTable/>
                  <c15:showDataLabelsRange val="0"/>
                </c:ext>
              </c:extLst>
            </c:dLbl>
            <c:dLbl>
              <c:idx val="2"/>
              <c:layout>
                <c:manualLayout>
                  <c:x val="0.10275680209628944"/>
                  <c:y val="3.555109622108632E-2"/>
                </c:manualLayout>
              </c:layout>
              <c:tx>
                <c:rich>
                  <a:bodyPr/>
                  <a:lstStyle/>
                  <a:p>
                    <a:fld id="{0BDE53AD-0C98-4C41-8C40-A9E2DDE3F840}" type="CATEGORYNAME">
                      <a:rPr lang="en-US" sz="1400"/>
                      <a:pPr/>
                      <a:t>[CATEGORY NAME]</a:t>
                    </a:fld>
                    <a:r>
                      <a:rPr lang="en-US" sz="1400"/>
                      <a:t>
</a:t>
                    </a:r>
                    <a:fld id="{11F421AA-265D-40B0-BF61-E7C9FA439849}" type="PERCENTAGE">
                      <a:rPr lang="en-US" sz="1400" b="1"/>
                      <a:pPr/>
                      <a:t>[PERCENTAGE]</a:t>
                    </a:fld>
                    <a:endParaRPr lang="en-US" sz="1400"/>
                  </a:p>
                </c:rich>
              </c:tx>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9FB8-492C-B3AD-A92FB05C72E7}"/>
                </c:ext>
                <c:ext xmlns:c15="http://schemas.microsoft.com/office/drawing/2012/chart" uri="{CE6537A1-D6FC-4f65-9D91-7224C49458BB}">
                  <c15:layout>
                    <c:manualLayout>
                      <c:w val="0.29950783378997858"/>
                      <c:h val="0.19566020548369506"/>
                    </c:manualLayout>
                  </c15:layout>
                  <c15:dlblFieldTable/>
                  <c15:showDataLabelsRange val="0"/>
                </c:ext>
              </c:extLst>
            </c:dLbl>
            <c:dLbl>
              <c:idx val="3"/>
              <c:layout>
                <c:manualLayout>
                  <c:x val="-9.0768935435850351E-2"/>
                  <c:y val="1.0827884550987116E-2"/>
                </c:manualLayout>
              </c:layout>
              <c:tx>
                <c:rich>
                  <a:bodyPr/>
                  <a:lstStyle/>
                  <a:p>
                    <a:fld id="{F93687A8-514B-4C76-9AB6-7923681A6F8E}" type="CATEGORYNAME">
                      <a:rPr lang="en-US" sz="1400"/>
                      <a:pPr/>
                      <a:t>[CATEGORY NAME]</a:t>
                    </a:fld>
                    <a:r>
                      <a:rPr lang="en-US" sz="1400"/>
                      <a:t>
</a:t>
                    </a:r>
                    <a:fld id="{488817B4-B5DB-4565-BB23-EE465F2491BC}" type="PERCENTAGE">
                      <a:rPr lang="en-US" sz="1400" b="1"/>
                      <a:pPr/>
                      <a:t>[PERCENTAGE]</a:t>
                    </a:fld>
                    <a:endParaRPr lang="en-US" sz="1400"/>
                  </a:p>
                </c:rich>
              </c:tx>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9FB8-492C-B3AD-A92FB05C72E7}"/>
                </c:ext>
                <c:ext xmlns:c15="http://schemas.microsoft.com/office/drawing/2012/chart" uri="{CE6537A1-D6FC-4f65-9D91-7224C49458BB}">
                  <c15:layout>
                    <c:manualLayout>
                      <c:w val="0.25583255504456531"/>
                      <c:h val="0.17422080408164506"/>
                    </c:manualLayout>
                  </c15:layout>
                  <c15:dlblFieldTable/>
                  <c15:showDataLabelsRange val="0"/>
                </c:ext>
              </c:extLst>
            </c:dLbl>
            <c:dLbl>
              <c:idx val="4"/>
              <c:layout>
                <c:manualLayout>
                  <c:x val="-6.2807165863295608E-3"/>
                  <c:y val="-5.0685454583938479E-3"/>
                </c:manualLayout>
              </c:layout>
              <c:tx>
                <c:rich>
                  <a:bodyPr/>
                  <a:lstStyle/>
                  <a:p>
                    <a:fld id="{6D00EA1F-BEFF-4B27-8F4C-6FB62AD3D178}" type="CATEGORYNAME">
                      <a:rPr lang="en-US" sz="1400">
                        <a:latin typeface="+mj-lt"/>
                      </a:rPr>
                      <a:pPr/>
                      <a:t>[CATEGORY NAME]</a:t>
                    </a:fld>
                    <a:r>
                      <a:rPr lang="en-US" sz="1400">
                        <a:latin typeface="+mj-lt"/>
                      </a:rPr>
                      <a:t>
</a:t>
                    </a:r>
                    <a:fld id="{C217C385-3DBA-4A55-93C7-F5B1D9ABA3A8}" type="PERCENTAGE">
                      <a:rPr lang="en-US" sz="1400" b="1">
                        <a:latin typeface="+mj-lt"/>
                      </a:rPr>
                      <a:pPr/>
                      <a:t>[PERCENTAGE]</a:t>
                    </a:fld>
                    <a:endParaRPr lang="en-US" sz="1400">
                      <a:latin typeface="+mj-lt"/>
                    </a:endParaRPr>
                  </a:p>
                </c:rich>
              </c:tx>
              <c:showLegendKey val="0"/>
              <c:showVal val="0"/>
              <c:showCatName val="1"/>
              <c:showSerName val="0"/>
              <c:showPercent val="1"/>
              <c:showBubbleSize val="0"/>
              <c:extLst>
                <c:ext xmlns:c15="http://schemas.microsoft.com/office/drawing/2012/chart" uri="{CE6537A1-D6FC-4f65-9D91-7224C49458BB}">
                  <c15:layout>
                    <c:manualLayout>
                      <c:w val="0.26768928646780837"/>
                      <c:h val="0.17522943512802364"/>
                    </c:manualLayout>
                  </c15:layout>
                  <c15:dlblFieldTable/>
                  <c15:showDataLabelsRange val="0"/>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j-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'03. Career Paths'!$W$17:$W$21</c:f>
              <c:strCache>
                <c:ptCount val="5"/>
                <c:pt idx="0">
                  <c:v>Roles &amp; Responsibilities</c:v>
                </c:pt>
                <c:pt idx="1">
                  <c:v>Experiences &amp; Contributions</c:v>
                </c:pt>
                <c:pt idx="2">
                  <c:v>Professional Business Analysis Skills</c:v>
                </c:pt>
                <c:pt idx="3">
                  <c:v>Foreign Language &amp; Certificates</c:v>
                </c:pt>
                <c:pt idx="4">
                  <c:v>Non-Engineering and Softskills</c:v>
                </c:pt>
              </c:strCache>
            </c:strRef>
          </c:cat>
          <c:val>
            <c:numRef>
              <c:f>'03. Career Paths'!$X$17:$X$21</c:f>
              <c:numCache>
                <c:formatCode>0%</c:formatCode>
                <c:ptCount val="5"/>
                <c:pt idx="0">
                  <c:v>0.15</c:v>
                </c:pt>
                <c:pt idx="1">
                  <c:v>0.25</c:v>
                </c:pt>
                <c:pt idx="2">
                  <c:v>0.4</c:v>
                </c:pt>
                <c:pt idx="3">
                  <c:v>0.1</c:v>
                </c:pt>
                <c:pt idx="4">
                  <c:v>0.1</c:v>
                </c:pt>
              </c:numCache>
            </c:numRef>
          </c:val>
          <c:extLst xmlns:c16r2="http://schemas.microsoft.com/office/drawing/2015/06/chart">
            <c:ext xmlns:c16="http://schemas.microsoft.com/office/drawing/2014/chart" uri="{C3380CC4-5D6E-409C-BE32-E72D297353CC}">
              <c16:uniqueId val="{0000000A-9FB8-492C-B3AD-A92FB05C72E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9057515970587"/>
          <c:y val="0.13855632904015669"/>
          <c:w val="0.53697411635091874"/>
          <c:h val="0.80469152605718397"/>
        </c:manualLayout>
      </c:layout>
      <c:radarChart>
        <c:radarStyle val="filled"/>
        <c:varyColors val="0"/>
        <c:ser>
          <c:idx val="0"/>
          <c:order val="0"/>
          <c:tx>
            <c:strRef>
              <c:f>'06. Assessment Summary'!$Q$5</c:f>
              <c:strCache>
                <c:ptCount val="1"/>
                <c:pt idx="0">
                  <c:v>REQUIRED SCORE FOR BANE04</c:v>
                </c:pt>
              </c:strCache>
            </c:strRef>
          </c:tx>
          <c:spPr>
            <a:noFill/>
            <a:ln w="12700">
              <a:solidFill>
                <a:srgbClr val="00B050"/>
              </a:solidFill>
            </a:ln>
            <a:effectLst/>
          </c:spPr>
          <c:cat>
            <c:strRef>
              <c:f>'06. Assessment Summary'!$C$7:$C$19</c:f>
              <c:strCache>
                <c:ptCount val="13"/>
                <c:pt idx="0">
                  <c:v>Roles and Responsibilities</c:v>
                </c:pt>
                <c:pt idx="1">
                  <c:v>Subordinate Development</c:v>
                </c:pt>
                <c:pt idx="2">
                  <c:v>Business Analysis Experiences (*)</c:v>
                </c:pt>
                <c:pt idx="3">
                  <c:v>Business Analysis Certifications</c:v>
                </c:pt>
                <c:pt idx="4">
                  <c:v>Number of Projects/Phases</c:v>
                </c:pt>
                <c:pt idx="5">
                  <c:v>Organization and Project Contributions</c:v>
                </c:pt>
                <c:pt idx="6">
                  <c:v>Foreign Language</c:v>
                </c:pt>
                <c:pt idx="7">
                  <c:v>Software Business Analytics (*)</c:v>
                </c:pt>
                <c:pt idx="8">
                  <c:v>Business Acumen and Mindsets</c:v>
                </c:pt>
                <c:pt idx="9">
                  <c:v>Business Analysis and Software Design Tools</c:v>
                </c:pt>
                <c:pt idx="10">
                  <c:v>Non-Engineering and Softskills</c:v>
                </c:pt>
                <c:pt idx="11">
                  <c:v>Industry Experiences (IT and Non-IT fields)</c:v>
                </c:pt>
                <c:pt idx="12">
                  <c:v>Individual Learning in Year</c:v>
                </c:pt>
              </c:strCache>
            </c:strRef>
          </c:cat>
          <c:val>
            <c:numRef>
              <c:f>'06. Assessment Summary'!$Q$7:$Q$19</c:f>
              <c:numCache>
                <c:formatCode>0.0</c:formatCode>
                <c:ptCount val="13"/>
                <c:pt idx="0">
                  <c:v>10.35</c:v>
                </c:pt>
                <c:pt idx="1">
                  <c:v>1.5</c:v>
                </c:pt>
                <c:pt idx="2">
                  <c:v>3.0000000000000004</c:v>
                </c:pt>
                <c:pt idx="3">
                  <c:v>3</c:v>
                </c:pt>
                <c:pt idx="4">
                  <c:v>1.7999999999999998</c:v>
                </c:pt>
                <c:pt idx="5">
                  <c:v>2</c:v>
                </c:pt>
                <c:pt idx="6">
                  <c:v>5</c:v>
                </c:pt>
                <c:pt idx="7">
                  <c:v>24.200000000000003</c:v>
                </c:pt>
                <c:pt idx="8">
                  <c:v>2.4</c:v>
                </c:pt>
                <c:pt idx="9">
                  <c:v>2.4000000000000004</c:v>
                </c:pt>
                <c:pt idx="10">
                  <c:v>6.5</c:v>
                </c:pt>
                <c:pt idx="11">
                  <c:v>5</c:v>
                </c:pt>
                <c:pt idx="12">
                  <c:v>0.66666666666666674</c:v>
                </c:pt>
              </c:numCache>
            </c:numRef>
          </c:val>
          <c:extLst xmlns:c16r2="http://schemas.microsoft.com/office/drawing/2015/06/chart">
            <c:ext xmlns:c16="http://schemas.microsoft.com/office/drawing/2014/chart" uri="{C3380CC4-5D6E-409C-BE32-E72D297353CC}">
              <c16:uniqueId val="{00000007-C637-4028-BEC7-B329AC61E425}"/>
            </c:ext>
          </c:extLst>
        </c:ser>
        <c:ser>
          <c:idx val="6"/>
          <c:order val="1"/>
          <c:tx>
            <c:strRef>
              <c:f>'06. Assessment Summary'!$K$5</c:f>
              <c:strCache>
                <c:ptCount val="1"/>
                <c:pt idx="0">
                  <c:v>ACTUAL RANKED SCORE</c:v>
                </c:pt>
              </c:strCache>
            </c:strRef>
          </c:tx>
          <c:spPr>
            <a:noFill/>
            <a:ln w="6350">
              <a:solidFill>
                <a:srgbClr val="FF0000"/>
              </a:solidFill>
            </a:ln>
            <a:effectLst/>
          </c:spPr>
          <c:cat>
            <c:strRef>
              <c:f>'06. Assessment Summary'!$C$7:$C$19</c:f>
              <c:strCache>
                <c:ptCount val="13"/>
                <c:pt idx="0">
                  <c:v>Roles and Responsibilities</c:v>
                </c:pt>
                <c:pt idx="1">
                  <c:v>Subordinate Development</c:v>
                </c:pt>
                <c:pt idx="2">
                  <c:v>Business Analysis Experiences (*)</c:v>
                </c:pt>
                <c:pt idx="3">
                  <c:v>Business Analysis Certifications</c:v>
                </c:pt>
                <c:pt idx="4">
                  <c:v>Number of Projects/Phases</c:v>
                </c:pt>
                <c:pt idx="5">
                  <c:v>Organization and Project Contributions</c:v>
                </c:pt>
                <c:pt idx="6">
                  <c:v>Foreign Language</c:v>
                </c:pt>
                <c:pt idx="7">
                  <c:v>Software Business Analytics (*)</c:v>
                </c:pt>
                <c:pt idx="8">
                  <c:v>Business Acumen and Mindsets</c:v>
                </c:pt>
                <c:pt idx="9">
                  <c:v>Business Analysis and Software Design Tools</c:v>
                </c:pt>
                <c:pt idx="10">
                  <c:v>Non-Engineering and Softskills</c:v>
                </c:pt>
                <c:pt idx="11">
                  <c:v>Industry Experiences (IT and Non-IT fields)</c:v>
                </c:pt>
                <c:pt idx="12">
                  <c:v>Individual Learning in Year</c:v>
                </c:pt>
              </c:strCache>
            </c:strRef>
          </c:cat>
          <c:val>
            <c:numRef>
              <c:f>'06. Assessment Summary'!$K$7:$K$19</c:f>
              <c:numCache>
                <c:formatCode>0.00</c:formatCode>
                <c:ptCount val="13"/>
                <c:pt idx="0">
                  <c:v>10.35</c:v>
                </c:pt>
                <c:pt idx="1">
                  <c:v>1.5</c:v>
                </c:pt>
                <c:pt idx="2">
                  <c:v>3.0000000000000004</c:v>
                </c:pt>
                <c:pt idx="3">
                  <c:v>3</c:v>
                </c:pt>
                <c:pt idx="4">
                  <c:v>2.4</c:v>
                </c:pt>
                <c:pt idx="5">
                  <c:v>3</c:v>
                </c:pt>
                <c:pt idx="6">
                  <c:v>5</c:v>
                </c:pt>
                <c:pt idx="7">
                  <c:v>22.6</c:v>
                </c:pt>
                <c:pt idx="8">
                  <c:v>2.4</c:v>
                </c:pt>
                <c:pt idx="9">
                  <c:v>2.4000000000000004</c:v>
                </c:pt>
                <c:pt idx="10">
                  <c:v>6.5</c:v>
                </c:pt>
                <c:pt idx="11">
                  <c:v>7.5000000000000009</c:v>
                </c:pt>
                <c:pt idx="12">
                  <c:v>0.66666666666666674</c:v>
                </c:pt>
              </c:numCache>
            </c:numRef>
          </c:val>
          <c:extLst xmlns:c16r2="http://schemas.microsoft.com/office/drawing/2015/06/chart">
            <c:ext xmlns:c16="http://schemas.microsoft.com/office/drawing/2014/chart" uri="{C3380CC4-5D6E-409C-BE32-E72D297353CC}">
              <c16:uniqueId val="{00000006-C637-4028-BEC7-B329AC61E425}"/>
            </c:ext>
          </c:extLst>
        </c:ser>
        <c:dLbls>
          <c:showLegendKey val="0"/>
          <c:showVal val="0"/>
          <c:showCatName val="0"/>
          <c:showSerName val="0"/>
          <c:showPercent val="0"/>
          <c:showBubbleSize val="0"/>
        </c:dLbls>
        <c:axId val="-1746479792"/>
        <c:axId val="-1746467824"/>
      </c:radarChart>
      <c:catAx>
        <c:axId val="-174647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46467824"/>
        <c:crosses val="autoZero"/>
        <c:auto val="1"/>
        <c:lblAlgn val="ctr"/>
        <c:lblOffset val="100"/>
        <c:noMultiLvlLbl val="0"/>
      </c:catAx>
      <c:valAx>
        <c:axId val="-1746467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46479792"/>
        <c:crosses val="autoZero"/>
        <c:crossBetween val="between"/>
      </c:valAx>
      <c:spPr>
        <a:noFill/>
        <a:ln>
          <a:noFill/>
        </a:ln>
        <a:effectLst/>
      </c:spPr>
    </c:plotArea>
    <c:legend>
      <c:legendPos val="b"/>
      <c:layout>
        <c:manualLayout>
          <c:xMode val="edge"/>
          <c:yMode val="edge"/>
          <c:x val="8.8391406183061058E-2"/>
          <c:y val="0"/>
          <c:w val="0.85820850064693388"/>
          <c:h val="5.959555040287026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50075951792672"/>
          <c:y val="0.22359264100381238"/>
          <c:w val="0.60771540603975394"/>
          <c:h val="1"/>
        </c:manualLayout>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B-590F-4D42-BBC4-419BBA88BDA2}"/>
              </c:ext>
            </c:extLst>
          </c:dPt>
          <c:dPt>
            <c:idx val="1"/>
            <c:bubble3D val="0"/>
            <c:spPr>
              <a:solidFill>
                <a:srgbClr val="C9C9C9"/>
              </a:solidFill>
              <a:ln w="19050">
                <a:solidFill>
                  <a:schemeClr val="lt1"/>
                </a:solidFill>
              </a:ln>
              <a:effectLst/>
            </c:spPr>
            <c:extLst xmlns:c16r2="http://schemas.microsoft.com/office/drawing/2015/06/chart">
              <c:ext xmlns:c16="http://schemas.microsoft.com/office/drawing/2014/chart" uri="{C3380CC4-5D6E-409C-BE32-E72D297353CC}">
                <c16:uniqueId val="{00000002-590F-4D42-BBC4-419BBA88BDA2}"/>
              </c:ext>
            </c:extLst>
          </c:dPt>
          <c:dPt>
            <c:idx val="2"/>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590F-4D42-BBC4-419BBA88BDA2}"/>
              </c:ext>
            </c:extLst>
          </c:dPt>
          <c:dPt>
            <c:idx val="3"/>
            <c:bubble3D val="0"/>
            <c:spPr>
              <a:solidFill>
                <a:srgbClr val="BA8CDC"/>
              </a:solidFill>
              <a:ln w="19050">
                <a:solidFill>
                  <a:schemeClr val="lt1"/>
                </a:solidFill>
              </a:ln>
              <a:effectLst/>
            </c:spPr>
            <c:extLst xmlns:c16r2="http://schemas.microsoft.com/office/drawing/2015/06/chart">
              <c:ext xmlns:c16="http://schemas.microsoft.com/office/drawing/2014/chart" uri="{C3380CC4-5D6E-409C-BE32-E72D297353CC}">
                <c16:uniqueId val="{00000004-590F-4D42-BBC4-419BBA88BDA2}"/>
              </c:ext>
            </c:extLst>
          </c:dPt>
          <c:dPt>
            <c:idx val="4"/>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590F-4D42-BBC4-419BBA88BDA2}"/>
              </c:ext>
            </c:extLst>
          </c:dPt>
          <c:dPt>
            <c:idx val="5"/>
            <c:bubble3D val="0"/>
            <c:spPr>
              <a:solidFill>
                <a:srgbClr val="00B0F0"/>
              </a:solidFill>
              <a:ln w="19050">
                <a:solidFill>
                  <a:schemeClr val="lt1"/>
                </a:solidFill>
              </a:ln>
              <a:effectLst/>
            </c:spPr>
            <c:extLst xmlns:c16r2="http://schemas.microsoft.com/office/drawing/2015/06/chart">
              <c:ext xmlns:c16="http://schemas.microsoft.com/office/drawing/2014/chart" uri="{C3380CC4-5D6E-409C-BE32-E72D297353CC}">
                <c16:uniqueId val="{00000006-590F-4D42-BBC4-419BBA88BDA2}"/>
              </c:ext>
            </c:extLst>
          </c:dPt>
          <c:dPt>
            <c:idx val="6"/>
            <c:bubble3D val="0"/>
            <c:spPr>
              <a:solidFill>
                <a:srgbClr val="EEB500"/>
              </a:solidFill>
              <a:ln w="19050">
                <a:solidFill>
                  <a:schemeClr val="lt1"/>
                </a:solidFill>
              </a:ln>
              <a:effectLst/>
            </c:spPr>
            <c:extLst xmlns:c16r2="http://schemas.microsoft.com/office/drawing/2015/06/chart">
              <c:ext xmlns:c16="http://schemas.microsoft.com/office/drawing/2014/chart" uri="{C3380CC4-5D6E-409C-BE32-E72D297353CC}">
                <c16:uniqueId val="{00000007-590F-4D42-BBC4-419BBA88BDA2}"/>
              </c:ext>
            </c:extLst>
          </c:dPt>
          <c:dPt>
            <c:idx val="7"/>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8-590F-4D42-BBC4-419BBA88BDA2}"/>
              </c:ext>
            </c:extLst>
          </c:dPt>
          <c:dPt>
            <c:idx val="8"/>
            <c:bubble3D val="0"/>
            <c:spPr>
              <a:solidFill>
                <a:schemeClr val="bg1"/>
              </a:solidFill>
              <a:ln w="19050">
                <a:solidFill>
                  <a:schemeClr val="lt1"/>
                </a:solidFill>
              </a:ln>
              <a:effectLst/>
            </c:spPr>
            <c:extLst xmlns:c16r2="http://schemas.microsoft.com/office/drawing/2015/06/chart">
              <c:ext xmlns:c16="http://schemas.microsoft.com/office/drawing/2014/chart" uri="{C3380CC4-5D6E-409C-BE32-E72D297353CC}">
                <c16:uniqueId val="{00000009-590F-4D42-BBC4-419BBA88BDA2}"/>
              </c:ext>
            </c:extLst>
          </c:dPt>
          <c:dLbls>
            <c:dLbl>
              <c:idx val="0"/>
              <c:delete val="1"/>
              <c:extLst xmlns:c16r2="http://schemas.microsoft.com/office/drawing/2015/06/chart">
                <c:ext xmlns:c16="http://schemas.microsoft.com/office/drawing/2014/chart" uri="{C3380CC4-5D6E-409C-BE32-E72D297353CC}">
                  <c16:uniqueId val="{0000000B-590F-4D42-BBC4-419BBA88BDA2}"/>
                </c:ext>
                <c:ext xmlns:c15="http://schemas.microsoft.com/office/drawing/2012/chart" uri="{CE6537A1-D6FC-4f65-9D91-7224C49458BB}"/>
              </c:extLst>
            </c:dLbl>
            <c:dLbl>
              <c:idx val="1"/>
              <c:layout>
                <c:manualLayout>
                  <c:x val="-4.0004339094331917E-2"/>
                  <c:y val="-6.0328993175995166E-3"/>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2-590F-4D42-BBC4-419BBA88BDA2}"/>
                </c:ext>
                <c:ext xmlns:c15="http://schemas.microsoft.com/office/drawing/2012/chart" uri="{CE6537A1-D6FC-4f65-9D91-7224C49458BB}"/>
              </c:extLst>
            </c:dLbl>
            <c:dLbl>
              <c:idx val="2"/>
              <c:layout>
                <c:manualLayout>
                  <c:x val="-2.880143512732531E-2"/>
                  <c:y val="-4.7318340125413798E-2"/>
                </c:manualLayout>
              </c:layout>
              <c:spPr>
                <a:no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3-590F-4D42-BBC4-419BBA88BDA2}"/>
                </c:ext>
                <c:ext xmlns:c15="http://schemas.microsoft.com/office/drawing/2012/chart" uri="{CE6537A1-D6FC-4f65-9D91-7224C49458BB}">
                  <c15:spPr xmlns:c15="http://schemas.microsoft.com/office/drawing/2012/chart">
                    <a:prstGeom prst="wedgeRectCallout">
                      <a:avLst/>
                    </a:prstGeom>
                    <a:noFill/>
                    <a:ln>
                      <a:noFill/>
                    </a:ln>
                  </c15:spPr>
                  <c15:layout>
                    <c:manualLayout>
                      <c:w val="7.8286825037538754E-2"/>
                      <c:h val="0.16543202694856224"/>
                    </c:manualLayout>
                  </c15:layout>
                </c:ext>
              </c:extLst>
            </c:dLbl>
            <c:dLbl>
              <c:idx val="3"/>
              <c:layout>
                <c:manualLayout>
                  <c:x val="-1.7421665552720306E-2"/>
                  <c:y val="-7.3760162535939852E-2"/>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4-590F-4D42-BBC4-419BBA88BDA2}"/>
                </c:ext>
                <c:ext xmlns:c15="http://schemas.microsoft.com/office/drawing/2012/chart" uri="{CE6537A1-D6FC-4f65-9D91-7224C49458BB}">
                  <c15:layout>
                    <c:manualLayout>
                      <c:w val="6.7062303972357559E-2"/>
                      <c:h val="0.11933658448303165"/>
                    </c:manualLayout>
                  </c15:layout>
                </c:ext>
              </c:extLst>
            </c:dLbl>
            <c:dLbl>
              <c:idx val="4"/>
              <c:layout>
                <c:manualLayout>
                  <c:x val="5.3568810827053976E-4"/>
                  <c:y val="-8.907406868780883E-2"/>
                </c:manualLayout>
              </c:layout>
              <c:spPr>
                <a:no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5-590F-4D42-BBC4-419BBA88BDA2}"/>
                </c:ext>
                <c:ext xmlns:c15="http://schemas.microsoft.com/office/drawing/2012/chart" uri="{CE6537A1-D6FC-4f65-9D91-7224C49458BB}">
                  <c15:spPr xmlns:c15="http://schemas.microsoft.com/office/drawing/2012/chart">
                    <a:prstGeom prst="wedgeRectCallout">
                      <a:avLst/>
                    </a:prstGeom>
                    <a:noFill/>
                    <a:ln>
                      <a:noFill/>
                    </a:ln>
                  </c15:spPr>
                  <c15:layout>
                    <c:manualLayout>
                      <c:w val="5.9313958120586145E-2"/>
                      <c:h val="0.16746049443760386"/>
                    </c:manualLayout>
                  </c15:layout>
                </c:ext>
              </c:extLst>
            </c:dLbl>
            <c:dLbl>
              <c:idx val="5"/>
              <c:layout>
                <c:manualLayout>
                  <c:x val="1.5337799057327992E-2"/>
                  <c:y val="-9.2620924347750211E-2"/>
                </c:manualLayout>
              </c:layout>
              <c:spPr>
                <a:no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6-590F-4D42-BBC4-419BBA88BDA2}"/>
                </c:ext>
                <c:ext xmlns:c15="http://schemas.microsoft.com/office/drawing/2012/chart" uri="{CE6537A1-D6FC-4f65-9D91-7224C49458BB}">
                  <c15:spPr xmlns:c15="http://schemas.microsoft.com/office/drawing/2012/chart">
                    <a:prstGeom prst="wedgeRectCallout">
                      <a:avLst/>
                    </a:prstGeom>
                    <a:noFill/>
                    <a:ln>
                      <a:noFill/>
                    </a:ln>
                  </c15:spPr>
                  <c15:layout>
                    <c:manualLayout>
                      <c:w val="6.3551426638143005E-2"/>
                      <c:h val="0.17386131659712997"/>
                    </c:manualLayout>
                  </c15:layout>
                </c:ext>
              </c:extLst>
            </c:dLbl>
            <c:dLbl>
              <c:idx val="6"/>
              <c:layout>
                <c:manualLayout>
                  <c:x val="2.3413617178515041E-2"/>
                  <c:y val="-4.9871301876284344E-2"/>
                </c:manualLayout>
              </c:layout>
              <c:spPr>
                <a:no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7-590F-4D42-BBC4-419BBA88BDA2}"/>
                </c:ext>
                <c:ext xmlns:c15="http://schemas.microsoft.com/office/drawing/2012/chart" uri="{CE6537A1-D6FC-4f65-9D91-7224C49458BB}">
                  <c15:spPr xmlns:c15="http://schemas.microsoft.com/office/drawing/2012/chart">
                    <a:prstGeom prst="wedgeRectCallout">
                      <a:avLst/>
                    </a:prstGeom>
                    <a:noFill/>
                    <a:ln>
                      <a:noFill/>
                    </a:ln>
                  </c15:spPr>
                  <c15:layout>
                    <c:manualLayout>
                      <c:w val="0.10350907603843691"/>
                      <c:h val="0.1127091082822446"/>
                    </c:manualLayout>
                  </c15:layout>
                </c:ext>
              </c:extLst>
            </c:dLbl>
            <c:dLbl>
              <c:idx val="7"/>
              <c:layout>
                <c:manualLayout>
                  <c:x val="1.5318377464658077E-2"/>
                  <c:y val="-1.9564746678559591E-2"/>
                </c:manualLayout>
              </c:layout>
              <c:spPr>
                <a:no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8-590F-4D42-BBC4-419BBA88BDA2}"/>
                </c:ext>
                <c:ext xmlns:c15="http://schemas.microsoft.com/office/drawing/2012/chart" uri="{CE6537A1-D6FC-4f65-9D91-7224C49458BB}">
                  <c15:spPr xmlns:c15="http://schemas.microsoft.com/office/drawing/2012/chart">
                    <a:prstGeom prst="wedgeRectCallout">
                      <a:avLst/>
                    </a:prstGeom>
                    <a:noFill/>
                    <a:ln>
                      <a:noFill/>
                    </a:ln>
                  </c15:spPr>
                  <c15:layout>
                    <c:manualLayout>
                      <c:w val="0.1016552663160013"/>
                      <c:h val="0.19113593102133281"/>
                    </c:manualLayout>
                  </c15:layout>
                </c:ext>
              </c:extLst>
            </c:dLbl>
            <c:dLbl>
              <c:idx val="8"/>
              <c:delete val="1"/>
              <c:extLst xmlns:c16r2="http://schemas.microsoft.com/office/drawing/2015/06/chart">
                <c:ext xmlns:c16="http://schemas.microsoft.com/office/drawing/2014/chart" uri="{C3380CC4-5D6E-409C-BE32-E72D297353CC}">
                  <c16:uniqueId val="{00000009-590F-4D42-BBC4-419BBA88BDA2}"/>
                </c:ex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0">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s>
          <c:cat>
            <c:strRef>
              <c:f>'06. Assessment Summary'!$Y$28:$Y$36</c:f>
              <c:strCache>
                <c:ptCount val="9"/>
                <c:pt idx="0">
                  <c:v>Start</c:v>
                </c:pt>
                <c:pt idx="1">
                  <c:v>Not ranked</c:v>
                </c:pt>
                <c:pt idx="2">
                  <c:v>Associate Business Analyst</c:v>
                </c:pt>
                <c:pt idx="3">
                  <c:v>Business Analyst</c:v>
                </c:pt>
                <c:pt idx="4">
                  <c:v>Senior Business Analyst</c:v>
                </c:pt>
                <c:pt idx="5">
                  <c:v>Business Analysis Leader</c:v>
                </c:pt>
                <c:pt idx="6">
                  <c:v>Senior Business Analysis Consultant / Leader</c:v>
                </c:pt>
                <c:pt idx="7">
                  <c:v>Principal Business Analysis Consultant / Leader</c:v>
                </c:pt>
                <c:pt idx="8">
                  <c:v>Shadow</c:v>
                </c:pt>
              </c:strCache>
            </c:strRef>
          </c:cat>
          <c:val>
            <c:numRef>
              <c:f>'06. Assessment Summary'!$Z$28:$Z$36</c:f>
              <c:numCache>
                <c:formatCode>General</c:formatCode>
                <c:ptCount val="9"/>
                <c:pt idx="0">
                  <c:v>0.5</c:v>
                </c:pt>
                <c:pt idx="1">
                  <c:v>16</c:v>
                </c:pt>
                <c:pt idx="2" formatCode="0">
                  <c:v>8.0000000000000036</c:v>
                </c:pt>
                <c:pt idx="3" formatCode="0">
                  <c:v>15.68333333333333</c:v>
                </c:pt>
                <c:pt idx="4" formatCode="0">
                  <c:v>17.899999999999999</c:v>
                </c:pt>
                <c:pt idx="5" formatCode="0">
                  <c:v>13.183333333333337</c:v>
                </c:pt>
                <c:pt idx="6" formatCode="0">
                  <c:v>19</c:v>
                </c:pt>
                <c:pt idx="7" formatCode="0">
                  <c:v>11</c:v>
                </c:pt>
                <c:pt idx="8">
                  <c:v>100</c:v>
                </c:pt>
              </c:numCache>
            </c:numRef>
          </c:val>
          <c:extLst xmlns:c16r2="http://schemas.microsoft.com/office/drawing/2015/06/chart">
            <c:ext xmlns:c16="http://schemas.microsoft.com/office/drawing/2014/chart" uri="{C3380CC4-5D6E-409C-BE32-E72D297353CC}">
              <c16:uniqueId val="{00000000-590F-4D42-BBC4-419BBA88BDA2}"/>
            </c:ext>
          </c:extLst>
        </c:ser>
        <c:dLbls>
          <c:showLegendKey val="0"/>
          <c:showVal val="0"/>
          <c:showCatName val="0"/>
          <c:showSerName val="0"/>
          <c:showPercent val="0"/>
          <c:showBubbleSize val="0"/>
          <c:showLeaderLines val="0"/>
        </c:dLbls>
        <c:firstSliceAng val="269"/>
        <c:holeSize val="26"/>
      </c:doughnutChart>
      <c:pieChart>
        <c:varyColors val="1"/>
        <c:ser>
          <c:idx val="1"/>
          <c:order val="1"/>
          <c:tx>
            <c:strRef>
              <c:f>'06. Assessment Summary'!$Y$37:$Z$37</c:f>
              <c:strCache>
                <c:ptCount val="1"/>
                <c:pt idx="0">
                  <c:v>Your Index 70.3</c:v>
                </c:pt>
              </c:strCache>
            </c:strRef>
          </c:tx>
          <c:dPt>
            <c:idx val="0"/>
            <c:bubble3D val="0"/>
            <c:spPr>
              <a:noFill/>
              <a:ln w="19050">
                <a:noFill/>
              </a:ln>
              <a:effectLst/>
            </c:spPr>
            <c:extLst xmlns:c16r2="http://schemas.microsoft.com/office/drawing/2015/06/chart">
              <c:ext xmlns:c16="http://schemas.microsoft.com/office/drawing/2014/chart" uri="{C3380CC4-5D6E-409C-BE32-E72D297353CC}">
                <c16:uniqueId val="{0000000F-590F-4D42-BBC4-419BBA88BDA2}"/>
              </c:ext>
            </c:extLst>
          </c:dPt>
          <c:dPt>
            <c:idx val="1"/>
            <c:bubble3D val="0"/>
            <c:spPr>
              <a:solidFill>
                <a:srgbClr val="FF0000"/>
              </a:solidFill>
              <a:ln w="19050">
                <a:noFill/>
              </a:ln>
              <a:effectLst/>
            </c:spPr>
            <c:extLst xmlns:c16r2="http://schemas.microsoft.com/office/drawing/2015/06/chart">
              <c:ext xmlns:c16="http://schemas.microsoft.com/office/drawing/2014/chart" uri="{C3380CC4-5D6E-409C-BE32-E72D297353CC}">
                <c16:uniqueId val="{00000010-590F-4D42-BBC4-419BBA88BDA2}"/>
              </c:ext>
            </c:extLst>
          </c:dPt>
          <c:dPt>
            <c:idx val="2"/>
            <c:bubble3D val="0"/>
            <c:spPr>
              <a:noFill/>
              <a:ln w="19050">
                <a:noFill/>
              </a:ln>
              <a:effectLst/>
            </c:spPr>
            <c:extLst xmlns:c16r2="http://schemas.microsoft.com/office/drawing/2015/06/chart">
              <c:ext xmlns:c16="http://schemas.microsoft.com/office/drawing/2014/chart" uri="{C3380CC4-5D6E-409C-BE32-E72D297353CC}">
                <c16:uniqueId val="{0000000E-590F-4D42-BBC4-419BBA88BDA2}"/>
              </c:ext>
            </c:extLst>
          </c:dPt>
          <c:dLbls>
            <c:dLbl>
              <c:idx val="1"/>
              <c:layout>
                <c:manualLayout>
                  <c:x val="8.4426000271161806E-3"/>
                  <c:y val="1.0011080955440408E-2"/>
                </c:manualLayout>
              </c:layout>
              <c:tx>
                <c:rich>
                  <a:bodyPr rot="0" spcFirstLastPara="1" vertOverflow="ellipsis" vert="horz" wrap="square" lIns="38100" tIns="19050" rIns="38100" bIns="19050" anchor="ctr" anchorCtr="1">
                    <a:noAutofit/>
                  </a:bodyPr>
                  <a:lstStyle/>
                  <a:p>
                    <a:pPr>
                      <a:defRPr sz="1000" b="1" i="0" u="none" strike="noStrike" kern="1200" baseline="0">
                        <a:solidFill>
                          <a:srgbClr val="C00000"/>
                        </a:solidFill>
                        <a:latin typeface="+mn-lt"/>
                        <a:ea typeface="+mn-ea"/>
                        <a:cs typeface="+mn-cs"/>
                      </a:defRPr>
                    </a:pPr>
                    <a:r>
                      <a:rPr lang="en-US" sz="1000" b="1">
                        <a:solidFill>
                          <a:srgbClr val="C00000"/>
                        </a:solidFill>
                      </a:rPr>
                      <a:t>You are here</a:t>
                    </a: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590F-4D42-BBC4-419BBA88BDA2}"/>
                </c:ext>
                <c:ext xmlns:c15="http://schemas.microsoft.com/office/drawing/2012/chart" uri="{CE6537A1-D6FC-4f65-9D91-7224C49458BB}">
                  <c15:layout>
                    <c:manualLayout>
                      <c:w val="8.7520319909982103E-2"/>
                      <c:h val="8.677005142931576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s>
          <c:val>
            <c:numRef>
              <c:f>'06. Assessment Summary'!$Z$37:$Z$39</c:f>
              <c:numCache>
                <c:formatCode>General</c:formatCode>
                <c:ptCount val="3"/>
                <c:pt idx="0" formatCode="0.0">
                  <c:v>70.316666666666663</c:v>
                </c:pt>
                <c:pt idx="1">
                  <c:v>1</c:v>
                </c:pt>
                <c:pt idx="2" formatCode="0">
                  <c:v>128.68333333333334</c:v>
                </c:pt>
              </c:numCache>
            </c:numRef>
          </c:val>
          <c:extLst xmlns:c16r2="http://schemas.microsoft.com/office/drawing/2015/06/chart">
            <c:ext xmlns:c16="http://schemas.microsoft.com/office/drawing/2014/chart" uri="{C3380CC4-5D6E-409C-BE32-E72D297353CC}">
              <c16:uniqueId val="{0000000D-590F-4D42-BBC4-419BBA88BDA2}"/>
            </c:ext>
          </c:extLst>
        </c:ser>
        <c:dLbls>
          <c:showLegendKey val="0"/>
          <c:showVal val="0"/>
          <c:showCatName val="0"/>
          <c:showSerName val="0"/>
          <c:showPercent val="0"/>
          <c:showBubbleSize val="0"/>
          <c:showLeaderLines val="1"/>
        </c:dLbls>
        <c:firstSliceAng val="267"/>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101601</xdr:colOff>
      <xdr:row>0</xdr:row>
      <xdr:rowOff>0</xdr:rowOff>
    </xdr:from>
    <xdr:ext cx="2277534" cy="1295131"/>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2951" y="0"/>
          <a:ext cx="2277534" cy="129513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20</xdr:col>
      <xdr:colOff>303006</xdr:colOff>
      <xdr:row>1</xdr:row>
      <xdr:rowOff>14177</xdr:rowOff>
    </xdr:from>
    <xdr:to>
      <xdr:col>31</xdr:col>
      <xdr:colOff>431261</xdr:colOff>
      <xdr:row>12</xdr:row>
      <xdr:rowOff>176389</xdr:rowOff>
    </xdr:to>
    <xdr:pic>
      <xdr:nvPicPr>
        <xdr:cNvPr id="41" name="Picture 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51113" y="408784"/>
          <a:ext cx="7965969" cy="2176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107950</xdr:colOff>
      <xdr:row>3</xdr:row>
      <xdr:rowOff>28863</xdr:rowOff>
    </xdr:from>
    <xdr:to>
      <xdr:col>10</xdr:col>
      <xdr:colOff>215900</xdr:colOff>
      <xdr:row>32</xdr:row>
      <xdr:rowOff>166748</xdr:rowOff>
    </xdr:to>
    <xdr:sp macro="" textlink="">
      <xdr:nvSpPr>
        <xdr:cNvPr id="10" name="Rectangle 9"/>
        <xdr:cNvSpPr/>
      </xdr:nvSpPr>
      <xdr:spPr>
        <a:xfrm>
          <a:off x="3802495" y="865908"/>
          <a:ext cx="2263102" cy="6449401"/>
        </a:xfrm>
        <a:prstGeom prst="rect">
          <a:avLst/>
        </a:prstGeom>
        <a:solidFill>
          <a:srgbClr val="E8EBF0"/>
        </a:solidFill>
        <a:ln w="3175">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a:solidFill>
                <a:schemeClr val="tx1"/>
              </a:solidFill>
              <a:latin typeface="Tahoma" panose="020B0604030504040204" pitchFamily="34" charset="0"/>
              <a:ea typeface="Tahoma" panose="020B0604030504040204" pitchFamily="34" charset="0"/>
              <a:cs typeface="Tahoma" panose="020B0604030504040204" pitchFamily="34" charset="0"/>
            </a:rPr>
            <a:t>Scope of </a:t>
          </a:r>
          <a:br>
            <a:rPr lang="en-US" sz="1000">
              <a:solidFill>
                <a:schemeClr val="tx1"/>
              </a:solidFill>
              <a:latin typeface="Tahoma" panose="020B0604030504040204" pitchFamily="34" charset="0"/>
              <a:ea typeface="Tahoma" panose="020B0604030504040204" pitchFamily="34" charset="0"/>
              <a:cs typeface="Tahoma" panose="020B0604030504040204" pitchFamily="34" charset="0"/>
            </a:rPr>
          </a:br>
          <a:r>
            <a:rPr lang="en-US" sz="1000" b="1">
              <a:solidFill>
                <a:schemeClr val="tx1"/>
              </a:solidFill>
              <a:latin typeface="Tahoma" panose="020B0604030504040204" pitchFamily="34" charset="0"/>
              <a:ea typeface="Tahoma" panose="020B0604030504040204" pitchFamily="34" charset="0"/>
              <a:cs typeface="Tahoma" panose="020B0604030504040204" pitchFamily="34" charset="0"/>
            </a:rPr>
            <a:t>Software</a:t>
          </a:r>
          <a:r>
            <a:rPr lang="en-US" sz="1000">
              <a:solidFill>
                <a:schemeClr val="tx1"/>
              </a:solidFill>
              <a:latin typeface="Tahoma" panose="020B0604030504040204" pitchFamily="34" charset="0"/>
              <a:ea typeface="Tahoma" panose="020B0604030504040204" pitchFamily="34" charset="0"/>
              <a:cs typeface="Tahoma" panose="020B0604030504040204" pitchFamily="34" charset="0"/>
            </a:rPr>
            <a:t> </a:t>
          </a:r>
          <a:r>
            <a:rPr lang="en-US" sz="1000" b="1">
              <a:solidFill>
                <a:schemeClr val="tx1"/>
              </a:solidFill>
              <a:latin typeface="Tahoma" panose="020B0604030504040204" pitchFamily="34" charset="0"/>
              <a:ea typeface="Tahoma" panose="020B0604030504040204" pitchFamily="34" charset="0"/>
              <a:cs typeface="Tahoma" panose="020B0604030504040204" pitchFamily="34" charset="0"/>
            </a:rPr>
            <a:t>Business Analyst</a:t>
          </a:r>
        </a:p>
        <a:p>
          <a:pPr marL="0" indent="0" algn="ctr"/>
          <a:r>
            <a:rPr lang="en-US" sz="1000">
              <a:solidFill>
                <a:schemeClr val="tx1"/>
              </a:solidFill>
              <a:latin typeface="Tahoma" panose="020B0604030504040204" pitchFamily="34" charset="0"/>
              <a:ea typeface="Tahoma" panose="020B0604030504040204" pitchFamily="34" charset="0"/>
              <a:cs typeface="Tahoma" panose="020B0604030504040204" pitchFamily="34" charset="0"/>
            </a:rPr>
            <a:t>Career Path</a:t>
          </a:r>
        </a:p>
      </xdr:txBody>
    </xdr:sp>
    <xdr:clientData/>
  </xdr:twoCellAnchor>
  <xdr:twoCellAnchor>
    <xdr:from>
      <xdr:col>10</xdr:col>
      <xdr:colOff>279597</xdr:colOff>
      <xdr:row>20</xdr:row>
      <xdr:rowOff>144318</xdr:rowOff>
    </xdr:from>
    <xdr:to>
      <xdr:col>11</xdr:col>
      <xdr:colOff>163178</xdr:colOff>
      <xdr:row>32</xdr:row>
      <xdr:rowOff>147699</xdr:rowOff>
    </xdr:to>
    <xdr:sp macro="" textlink="">
      <xdr:nvSpPr>
        <xdr:cNvPr id="11" name="Up Arrow 10"/>
        <xdr:cNvSpPr/>
      </xdr:nvSpPr>
      <xdr:spPr>
        <a:xfrm>
          <a:off x="6129294" y="4435379"/>
          <a:ext cx="489717" cy="2860881"/>
        </a:xfrm>
        <a:prstGeom prst="upArrow">
          <a:avLst/>
        </a:prstGeom>
        <a:solidFill>
          <a:schemeClr val="accent1">
            <a:lumMod val="40000"/>
            <a:lumOff val="60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vert="vert270" lIns="0" tIns="0" rIns="0" bIns="0" rtlCol="0" anchor="t" anchorCtr="0"/>
        <a:lstStyle/>
        <a:p>
          <a:pPr algn="ctr"/>
          <a:r>
            <a:rPr lang="en-US" sz="1000">
              <a:latin typeface="+mj-lt"/>
            </a:rPr>
            <a:t>Foundation Software Business Analyst Path</a:t>
          </a:r>
        </a:p>
      </xdr:txBody>
    </xdr:sp>
    <xdr:clientData/>
  </xdr:twoCellAnchor>
  <xdr:twoCellAnchor>
    <xdr:from>
      <xdr:col>7</xdr:col>
      <xdr:colOff>-1</xdr:colOff>
      <xdr:row>8</xdr:row>
      <xdr:rowOff>86591</xdr:rowOff>
    </xdr:from>
    <xdr:to>
      <xdr:col>9</xdr:col>
      <xdr:colOff>423333</xdr:colOff>
      <xdr:row>11</xdr:row>
      <xdr:rowOff>129589</xdr:rowOff>
    </xdr:to>
    <xdr:sp macro="" textlink="">
      <xdr:nvSpPr>
        <xdr:cNvPr id="13" name="Rounded Rectangle 12"/>
        <xdr:cNvSpPr/>
      </xdr:nvSpPr>
      <xdr:spPr>
        <a:xfrm>
          <a:off x="4108257" y="1837652"/>
          <a:ext cx="1558637" cy="591407"/>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Principal Business Analysis Leader</a:t>
          </a:r>
          <a:b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b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BANE06</a:t>
          </a:r>
        </a:p>
      </xdr:txBody>
    </xdr:sp>
    <xdr:clientData/>
  </xdr:twoCellAnchor>
  <xdr:twoCellAnchor>
    <xdr:from>
      <xdr:col>8</xdr:col>
      <xdr:colOff>241261</xdr:colOff>
      <xdr:row>19</xdr:row>
      <xdr:rowOff>144318</xdr:rowOff>
    </xdr:from>
    <xdr:to>
      <xdr:col>8</xdr:col>
      <xdr:colOff>246250</xdr:colOff>
      <xdr:row>20</xdr:row>
      <xdr:rowOff>143432</xdr:rowOff>
    </xdr:to>
    <xdr:cxnSp macro="">
      <xdr:nvCxnSpPr>
        <xdr:cNvPr id="15" name="Straight Arrow Connector 14"/>
        <xdr:cNvCxnSpPr>
          <a:stCxn id="19" idx="0"/>
          <a:endCxn id="18" idx="2"/>
        </xdr:cNvCxnSpPr>
      </xdr:nvCxnSpPr>
      <xdr:spPr>
        <a:xfrm flipV="1">
          <a:off x="4878685" y="4194848"/>
          <a:ext cx="4989" cy="239645"/>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246250</xdr:colOff>
      <xdr:row>15</xdr:row>
      <xdr:rowOff>230910</xdr:rowOff>
    </xdr:from>
    <xdr:to>
      <xdr:col>8</xdr:col>
      <xdr:colOff>248229</xdr:colOff>
      <xdr:row>17</xdr:row>
      <xdr:rowOff>48106</xdr:rowOff>
    </xdr:to>
    <xdr:cxnSp macro="">
      <xdr:nvCxnSpPr>
        <xdr:cNvPr id="16" name="Straight Arrow Connector 15"/>
        <xdr:cNvCxnSpPr>
          <a:stCxn id="18" idx="0"/>
          <a:endCxn id="20" idx="2"/>
        </xdr:cNvCxnSpPr>
      </xdr:nvCxnSpPr>
      <xdr:spPr>
        <a:xfrm flipV="1">
          <a:off x="4883674" y="3319319"/>
          <a:ext cx="1979" cy="298257"/>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233789</xdr:colOff>
      <xdr:row>23</xdr:row>
      <xdr:rowOff>84198</xdr:rowOff>
    </xdr:from>
    <xdr:to>
      <xdr:col>8</xdr:col>
      <xdr:colOff>241261</xdr:colOff>
      <xdr:row>25</xdr:row>
      <xdr:rowOff>27594</xdr:rowOff>
    </xdr:to>
    <xdr:cxnSp macro="">
      <xdr:nvCxnSpPr>
        <xdr:cNvPr id="17" name="Straight Arrow Connector 16"/>
        <xdr:cNvCxnSpPr>
          <a:stCxn id="22" idx="0"/>
          <a:endCxn id="19" idx="2"/>
        </xdr:cNvCxnSpPr>
      </xdr:nvCxnSpPr>
      <xdr:spPr>
        <a:xfrm flipV="1">
          <a:off x="4871213" y="4981395"/>
          <a:ext cx="7472" cy="443699"/>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1271</xdr:colOff>
      <xdr:row>17</xdr:row>
      <xdr:rowOff>48106</xdr:rowOff>
    </xdr:from>
    <xdr:to>
      <xdr:col>9</xdr:col>
      <xdr:colOff>414257</xdr:colOff>
      <xdr:row>19</xdr:row>
      <xdr:rowOff>144318</xdr:rowOff>
    </xdr:to>
    <xdr:sp macro="" textlink="">
      <xdr:nvSpPr>
        <xdr:cNvPr id="18" name="Rounded Rectangle 17"/>
        <xdr:cNvSpPr/>
      </xdr:nvSpPr>
      <xdr:spPr>
        <a:xfrm>
          <a:off x="4109529" y="3617576"/>
          <a:ext cx="1548289" cy="577272"/>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baseline="0">
              <a:solidFill>
                <a:srgbClr val="FF0000"/>
              </a:solidFill>
              <a:latin typeface="Tahoma" panose="020B0604030504040204" pitchFamily="34" charset="0"/>
              <a:ea typeface="Tahoma" panose="020B0604030504040204" pitchFamily="34" charset="0"/>
              <a:cs typeface="Tahoma" panose="020B0604030504040204" pitchFamily="34" charset="0"/>
            </a:rPr>
            <a:t>Business Analysis</a:t>
          </a:r>
          <a:br>
            <a:rPr lang="en-US" sz="900" baseline="0">
              <a:solidFill>
                <a:srgbClr val="FF0000"/>
              </a:solidFill>
              <a:latin typeface="Tahoma" panose="020B0604030504040204" pitchFamily="34" charset="0"/>
              <a:ea typeface="Tahoma" panose="020B0604030504040204" pitchFamily="34" charset="0"/>
              <a:cs typeface="Tahoma" panose="020B0604030504040204" pitchFamily="34" charset="0"/>
            </a:rPr>
          </a:br>
          <a:r>
            <a:rPr lang="en-US" sz="900" baseline="0">
              <a:solidFill>
                <a:srgbClr val="FF0000"/>
              </a:solidFill>
              <a:latin typeface="Tahoma" panose="020B0604030504040204" pitchFamily="34" charset="0"/>
              <a:ea typeface="Tahoma" panose="020B0604030504040204" pitchFamily="34" charset="0"/>
              <a:cs typeface="Tahoma" panose="020B0604030504040204" pitchFamily="34" charset="0"/>
            </a:rPr>
            <a:t>Leader</a:t>
          </a:r>
          <a:br>
            <a:rPr lang="en-US" sz="900" baseline="0">
              <a:solidFill>
                <a:srgbClr val="FF0000"/>
              </a:solidFill>
              <a:latin typeface="Tahoma" panose="020B0604030504040204" pitchFamily="34" charset="0"/>
              <a:ea typeface="Tahoma" panose="020B0604030504040204" pitchFamily="34" charset="0"/>
              <a:cs typeface="Tahoma" panose="020B0604030504040204" pitchFamily="34" charset="0"/>
            </a:rPr>
          </a:br>
          <a:r>
            <a:rPr lang="en-US" sz="900" baseline="0">
              <a:solidFill>
                <a:srgbClr val="FF0000"/>
              </a:solidFill>
              <a:latin typeface="Tahoma" panose="020B0604030504040204" pitchFamily="34" charset="0"/>
              <a:ea typeface="Tahoma" panose="020B0604030504040204" pitchFamily="34" charset="0"/>
              <a:cs typeface="Tahoma" panose="020B0604030504040204" pitchFamily="34" charset="0"/>
            </a:rPr>
            <a:t>BANE04</a:t>
          </a:r>
          <a:endParaRPr lang="en-US" sz="900">
            <a:solidFill>
              <a:srgbClr val="FF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7</xdr:col>
      <xdr:colOff>11082</xdr:colOff>
      <xdr:row>20</xdr:row>
      <xdr:rowOff>143432</xdr:rowOff>
    </xdr:from>
    <xdr:to>
      <xdr:col>9</xdr:col>
      <xdr:colOff>394469</xdr:colOff>
      <xdr:row>23</xdr:row>
      <xdr:rowOff>84198</xdr:rowOff>
    </xdr:to>
    <xdr:sp macro="" textlink="">
      <xdr:nvSpPr>
        <xdr:cNvPr id="19" name="Rounded Rectangle 18"/>
        <xdr:cNvSpPr/>
      </xdr:nvSpPr>
      <xdr:spPr>
        <a:xfrm>
          <a:off x="4119340" y="4434493"/>
          <a:ext cx="1518690" cy="546902"/>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Senior Business Analyst</a:t>
          </a:r>
          <a:br>
            <a:rPr lang="en-US" sz="900">
              <a:solidFill>
                <a:srgbClr val="FF0000"/>
              </a:solidFill>
              <a:latin typeface="Tahoma" panose="020B0604030504040204" pitchFamily="34" charset="0"/>
              <a:ea typeface="Tahoma" panose="020B0604030504040204" pitchFamily="34" charset="0"/>
              <a:cs typeface="Tahoma" panose="020B0604030504040204" pitchFamily="34" charset="0"/>
            </a:rPr>
          </a:b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BANE03</a:t>
          </a:r>
        </a:p>
      </xdr:txBody>
    </xdr:sp>
    <xdr:clientData/>
  </xdr:twoCellAnchor>
  <xdr:twoCellAnchor>
    <xdr:from>
      <xdr:col>7</xdr:col>
      <xdr:colOff>1271</xdr:colOff>
      <xdr:row>13</xdr:row>
      <xdr:rowOff>76971</xdr:rowOff>
    </xdr:from>
    <xdr:to>
      <xdr:col>9</xdr:col>
      <xdr:colOff>418215</xdr:colOff>
      <xdr:row>15</xdr:row>
      <xdr:rowOff>230910</xdr:rowOff>
    </xdr:to>
    <xdr:sp macro="" textlink="">
      <xdr:nvSpPr>
        <xdr:cNvPr id="20" name="Rounded Rectangle 19"/>
        <xdr:cNvSpPr/>
      </xdr:nvSpPr>
      <xdr:spPr>
        <a:xfrm>
          <a:off x="4109529" y="2742047"/>
          <a:ext cx="1552247" cy="577272"/>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Senior Business Analysis Leader</a:t>
          </a:r>
          <a:b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b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BANE05</a:t>
          </a:r>
        </a:p>
      </xdr:txBody>
    </xdr:sp>
    <xdr:clientData/>
  </xdr:twoCellAnchor>
  <xdr:twoCellAnchor>
    <xdr:from>
      <xdr:col>8</xdr:col>
      <xdr:colOff>248229</xdr:colOff>
      <xdr:row>11</xdr:row>
      <xdr:rowOff>129589</xdr:rowOff>
    </xdr:from>
    <xdr:to>
      <xdr:col>8</xdr:col>
      <xdr:colOff>250152</xdr:colOff>
      <xdr:row>13</xdr:row>
      <xdr:rowOff>76971</xdr:rowOff>
    </xdr:to>
    <xdr:cxnSp macro="">
      <xdr:nvCxnSpPr>
        <xdr:cNvPr id="21" name="Straight Arrow Connector 20"/>
        <xdr:cNvCxnSpPr>
          <a:stCxn id="20" idx="0"/>
          <a:endCxn id="13" idx="2"/>
        </xdr:cNvCxnSpPr>
      </xdr:nvCxnSpPr>
      <xdr:spPr>
        <a:xfrm flipV="1">
          <a:off x="4885653" y="2429059"/>
          <a:ext cx="1923" cy="312988"/>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1463</xdr:colOff>
      <xdr:row>25</xdr:row>
      <xdr:rowOff>27594</xdr:rowOff>
    </xdr:from>
    <xdr:to>
      <xdr:col>9</xdr:col>
      <xdr:colOff>389144</xdr:colOff>
      <xdr:row>27</xdr:row>
      <xdr:rowOff>76971</xdr:rowOff>
    </xdr:to>
    <xdr:sp macro="" textlink="">
      <xdr:nvSpPr>
        <xdr:cNvPr id="22" name="Rounded Rectangle 21"/>
        <xdr:cNvSpPr/>
      </xdr:nvSpPr>
      <xdr:spPr>
        <a:xfrm>
          <a:off x="4109721" y="5425094"/>
          <a:ext cx="1522984" cy="54968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Business Analyst</a:t>
          </a:r>
          <a:br>
            <a:rPr lang="en-US" sz="900">
              <a:solidFill>
                <a:srgbClr val="FF0000"/>
              </a:solidFill>
              <a:latin typeface="Tahoma" panose="020B0604030504040204" pitchFamily="34" charset="0"/>
              <a:ea typeface="Tahoma" panose="020B0604030504040204" pitchFamily="34" charset="0"/>
              <a:cs typeface="Tahoma" panose="020B0604030504040204" pitchFamily="34" charset="0"/>
            </a:rPr>
          </a:b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BANE02</a:t>
          </a:r>
        </a:p>
      </xdr:txBody>
    </xdr:sp>
    <xdr:clientData/>
  </xdr:twoCellAnchor>
  <xdr:twoCellAnchor>
    <xdr:from>
      <xdr:col>7</xdr:col>
      <xdr:colOff>1464</xdr:colOff>
      <xdr:row>29</xdr:row>
      <xdr:rowOff>0</xdr:rowOff>
    </xdr:from>
    <xdr:to>
      <xdr:col>9</xdr:col>
      <xdr:colOff>387606</xdr:colOff>
      <xdr:row>31</xdr:row>
      <xdr:rowOff>105833</xdr:rowOff>
    </xdr:to>
    <xdr:sp macro="" textlink="">
      <xdr:nvSpPr>
        <xdr:cNvPr id="23" name="Rounded Rectangle 22"/>
        <xdr:cNvSpPr/>
      </xdr:nvSpPr>
      <xdr:spPr>
        <a:xfrm>
          <a:off x="4109722" y="6398106"/>
          <a:ext cx="1521445" cy="606136"/>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Asscociate Business Analyst</a:t>
          </a:r>
          <a:br>
            <a:rPr lang="en-US" sz="900">
              <a:solidFill>
                <a:srgbClr val="FF0000"/>
              </a:solidFill>
              <a:latin typeface="Tahoma" panose="020B0604030504040204" pitchFamily="34" charset="0"/>
              <a:ea typeface="Tahoma" panose="020B0604030504040204" pitchFamily="34" charset="0"/>
              <a:cs typeface="Tahoma" panose="020B0604030504040204" pitchFamily="34" charset="0"/>
            </a:rPr>
          </a:br>
          <a:r>
            <a:rPr lang="en-US" sz="900">
              <a:solidFill>
                <a:srgbClr val="FF0000"/>
              </a:solidFill>
              <a:latin typeface="Tahoma" panose="020B0604030504040204" pitchFamily="34" charset="0"/>
              <a:ea typeface="Tahoma" panose="020B0604030504040204" pitchFamily="34" charset="0"/>
              <a:cs typeface="Tahoma" panose="020B0604030504040204" pitchFamily="34" charset="0"/>
            </a:rPr>
            <a:t>BANE01</a:t>
          </a:r>
        </a:p>
      </xdr:txBody>
    </xdr:sp>
    <xdr:clientData/>
  </xdr:twoCellAnchor>
  <xdr:twoCellAnchor>
    <xdr:from>
      <xdr:col>8</xdr:col>
      <xdr:colOff>233021</xdr:colOff>
      <xdr:row>27</xdr:row>
      <xdr:rowOff>76971</xdr:rowOff>
    </xdr:from>
    <xdr:to>
      <xdr:col>8</xdr:col>
      <xdr:colOff>233789</xdr:colOff>
      <xdr:row>29</xdr:row>
      <xdr:rowOff>0</xdr:rowOff>
    </xdr:to>
    <xdr:cxnSp macro="">
      <xdr:nvCxnSpPr>
        <xdr:cNvPr id="24" name="Straight Arrow Connector 23"/>
        <xdr:cNvCxnSpPr>
          <a:stCxn id="23" idx="0"/>
          <a:endCxn id="22" idx="2"/>
        </xdr:cNvCxnSpPr>
      </xdr:nvCxnSpPr>
      <xdr:spPr>
        <a:xfrm flipV="1">
          <a:off x="4870445" y="5974774"/>
          <a:ext cx="768" cy="423332"/>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233021</xdr:colOff>
      <xdr:row>31</xdr:row>
      <xdr:rowOff>105833</xdr:rowOff>
    </xdr:from>
    <xdr:to>
      <xdr:col>8</xdr:col>
      <xdr:colOff>235891</xdr:colOff>
      <xdr:row>33</xdr:row>
      <xdr:rowOff>181812</xdr:rowOff>
    </xdr:to>
    <xdr:cxnSp macro="">
      <xdr:nvCxnSpPr>
        <xdr:cNvPr id="25" name="Straight Arrow Connector 24"/>
        <xdr:cNvCxnSpPr>
          <a:stCxn id="26" idx="0"/>
          <a:endCxn id="23" idx="2"/>
        </xdr:cNvCxnSpPr>
      </xdr:nvCxnSpPr>
      <xdr:spPr>
        <a:xfrm flipH="1" flipV="1">
          <a:off x="4870445" y="7004242"/>
          <a:ext cx="2870" cy="576282"/>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411169</xdr:colOff>
      <xdr:row>33</xdr:row>
      <xdr:rowOff>181812</xdr:rowOff>
    </xdr:from>
    <xdr:to>
      <xdr:col>9</xdr:col>
      <xdr:colOff>397354</xdr:colOff>
      <xdr:row>36</xdr:row>
      <xdr:rowOff>126497</xdr:rowOff>
    </xdr:to>
    <xdr:sp macro="" textlink="">
      <xdr:nvSpPr>
        <xdr:cNvPr id="26" name="Rounded Rectangle 25"/>
        <xdr:cNvSpPr/>
      </xdr:nvSpPr>
      <xdr:spPr>
        <a:xfrm>
          <a:off x="4103576" y="6884590"/>
          <a:ext cx="1538408" cy="509129"/>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000" b="0">
              <a:solidFill>
                <a:schemeClr val="bg1"/>
              </a:solidFill>
              <a:latin typeface="Tahoma" panose="020B0604030504040204" pitchFamily="34" charset="0"/>
              <a:ea typeface="Tahoma" panose="020B0604030504040204" pitchFamily="34" charset="0"/>
              <a:cs typeface="Tahoma" panose="020B0604030504040204" pitchFamily="34" charset="0"/>
            </a:rPr>
            <a:t>Internship</a:t>
          </a:r>
          <a:r>
            <a:rPr lang="en-US" sz="1000" b="0" baseline="0">
              <a:solidFill>
                <a:schemeClr val="bg1"/>
              </a:solidFill>
              <a:latin typeface="Tahoma" panose="020B0604030504040204" pitchFamily="34" charset="0"/>
              <a:ea typeface="Tahoma" panose="020B0604030504040204" pitchFamily="34" charset="0"/>
              <a:cs typeface="Tahoma" panose="020B0604030504040204" pitchFamily="34" charset="0"/>
            </a:rPr>
            <a:t/>
          </a:r>
          <a:br>
            <a:rPr lang="en-US" sz="1000" b="0" baseline="0">
              <a:solidFill>
                <a:schemeClr val="bg1"/>
              </a:solidFill>
              <a:latin typeface="Tahoma" panose="020B0604030504040204" pitchFamily="34" charset="0"/>
              <a:ea typeface="Tahoma" panose="020B0604030504040204" pitchFamily="34" charset="0"/>
              <a:cs typeface="Tahoma" panose="020B0604030504040204" pitchFamily="34" charset="0"/>
            </a:rPr>
          </a:br>
          <a:r>
            <a:rPr lang="en-US" sz="1000" b="0">
              <a:solidFill>
                <a:schemeClr val="bg1"/>
              </a:solidFill>
              <a:latin typeface="Tahoma" panose="020B0604030504040204" pitchFamily="34" charset="0"/>
              <a:ea typeface="Tahoma" panose="020B0604030504040204" pitchFamily="34" charset="0"/>
              <a:cs typeface="Tahoma" panose="020B0604030504040204" pitchFamily="34" charset="0"/>
            </a:rPr>
            <a:t>Business Analyst</a:t>
          </a:r>
        </a:p>
      </xdr:txBody>
    </xdr:sp>
    <xdr:clientData/>
  </xdr:twoCellAnchor>
  <xdr:twoCellAnchor>
    <xdr:from>
      <xdr:col>1</xdr:col>
      <xdr:colOff>94073</xdr:colOff>
      <xdr:row>3</xdr:row>
      <xdr:rowOff>19243</xdr:rowOff>
    </xdr:from>
    <xdr:to>
      <xdr:col>5</xdr:col>
      <xdr:colOff>-1</xdr:colOff>
      <xdr:row>21</xdr:row>
      <xdr:rowOff>28864</xdr:rowOff>
    </xdr:to>
    <xdr:sp macro="" textlink="">
      <xdr:nvSpPr>
        <xdr:cNvPr id="29" name="Rectangle 28"/>
        <xdr:cNvSpPr/>
      </xdr:nvSpPr>
      <xdr:spPr>
        <a:xfrm>
          <a:off x="1498770" y="856288"/>
          <a:ext cx="1936002" cy="3704167"/>
        </a:xfrm>
        <a:prstGeom prst="rect">
          <a:avLst/>
        </a:prstGeom>
        <a:solidFill>
          <a:schemeClr val="bg1">
            <a:lumMod val="95000"/>
          </a:schemeClr>
        </a:solidFill>
        <a:ln w="3175">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a:solidFill>
                <a:schemeClr val="tx1"/>
              </a:solidFill>
              <a:latin typeface="Tahoma" panose="020B0604030504040204" pitchFamily="34" charset="0"/>
              <a:ea typeface="Tahoma" panose="020B0604030504040204" pitchFamily="34" charset="0"/>
              <a:cs typeface="Tahoma" panose="020B0604030504040204" pitchFamily="34" charset="0"/>
            </a:rPr>
            <a:t>Scope of </a:t>
          </a:r>
          <a:br>
            <a:rPr lang="en-US" sz="1000">
              <a:solidFill>
                <a:schemeClr val="tx1"/>
              </a:solidFill>
              <a:latin typeface="Tahoma" panose="020B0604030504040204" pitchFamily="34" charset="0"/>
              <a:ea typeface="Tahoma" panose="020B0604030504040204" pitchFamily="34" charset="0"/>
              <a:cs typeface="Tahoma" panose="020B0604030504040204" pitchFamily="34" charset="0"/>
            </a:rPr>
          </a:br>
          <a:r>
            <a:rPr lang="en-US" sz="1000" b="1">
              <a:solidFill>
                <a:schemeClr val="tx1"/>
              </a:solidFill>
              <a:latin typeface="Tahoma" panose="020B0604030504040204" pitchFamily="34" charset="0"/>
              <a:ea typeface="Tahoma" panose="020B0604030504040204" pitchFamily="34" charset="0"/>
              <a:cs typeface="Tahoma" panose="020B0604030504040204" pitchFamily="34" charset="0"/>
            </a:rPr>
            <a:t>Business Analysis Consultant</a:t>
          </a:r>
        </a:p>
        <a:p>
          <a:pPr marL="0" indent="0" algn="ctr"/>
          <a:r>
            <a:rPr lang="en-US" sz="1000">
              <a:solidFill>
                <a:schemeClr val="tx1"/>
              </a:solidFill>
              <a:latin typeface="Tahoma" panose="020B0604030504040204" pitchFamily="34" charset="0"/>
              <a:ea typeface="Tahoma" panose="020B0604030504040204" pitchFamily="34" charset="0"/>
              <a:cs typeface="Tahoma" panose="020B0604030504040204" pitchFamily="34" charset="0"/>
            </a:rPr>
            <a:t>Career Path</a:t>
          </a:r>
        </a:p>
      </xdr:txBody>
    </xdr:sp>
    <xdr:clientData/>
  </xdr:twoCellAnchor>
  <xdr:twoCellAnchor>
    <xdr:from>
      <xdr:col>1</xdr:col>
      <xdr:colOff>299033</xdr:colOff>
      <xdr:row>13</xdr:row>
      <xdr:rowOff>122398</xdr:rowOff>
    </xdr:from>
    <xdr:to>
      <xdr:col>4</xdr:col>
      <xdr:colOff>225826</xdr:colOff>
      <xdr:row>15</xdr:row>
      <xdr:rowOff>207434</xdr:rowOff>
    </xdr:to>
    <xdr:sp macro="" textlink="">
      <xdr:nvSpPr>
        <xdr:cNvPr id="31" name="Rounded Rectangle 30"/>
        <xdr:cNvSpPr/>
      </xdr:nvSpPr>
      <xdr:spPr>
        <a:xfrm>
          <a:off x="1703730" y="2787474"/>
          <a:ext cx="1543157" cy="50836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Senior Business Analysis Consultant BANE05</a:t>
          </a:r>
        </a:p>
      </xdr:txBody>
    </xdr:sp>
    <xdr:clientData/>
  </xdr:twoCellAnchor>
  <xdr:twoCellAnchor>
    <xdr:from>
      <xdr:col>1</xdr:col>
      <xdr:colOff>299033</xdr:colOff>
      <xdr:row>8</xdr:row>
      <xdr:rowOff>152400</xdr:rowOff>
    </xdr:from>
    <xdr:to>
      <xdr:col>4</xdr:col>
      <xdr:colOff>225826</xdr:colOff>
      <xdr:row>11</xdr:row>
      <xdr:rowOff>135701</xdr:rowOff>
    </xdr:to>
    <xdr:sp macro="" textlink="">
      <xdr:nvSpPr>
        <xdr:cNvPr id="33" name="Rounded Rectangle 32"/>
        <xdr:cNvSpPr/>
      </xdr:nvSpPr>
      <xdr:spPr>
        <a:xfrm>
          <a:off x="1708733" y="1955800"/>
          <a:ext cx="1552393" cy="55480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r>
            <a:rPr lang="en-US" sz="900">
              <a:solidFill>
                <a:sysClr val="windowText" lastClr="000000"/>
              </a:solidFill>
              <a:latin typeface="Tahoma" panose="020B0604030504040204" pitchFamily="34" charset="0"/>
              <a:ea typeface="Tahoma" panose="020B0604030504040204" pitchFamily="34" charset="0"/>
              <a:cs typeface="Tahoma" panose="020B0604030504040204" pitchFamily="34" charset="0"/>
            </a:rPr>
            <a:t>Principal Business Analysis Leader BANE06</a:t>
          </a:r>
        </a:p>
      </xdr:txBody>
    </xdr:sp>
    <xdr:clientData/>
  </xdr:twoCellAnchor>
  <xdr:twoCellAnchor>
    <xdr:from>
      <xdr:col>3</xdr:col>
      <xdr:colOff>60385</xdr:colOff>
      <xdr:row>11</xdr:row>
      <xdr:rowOff>135701</xdr:rowOff>
    </xdr:from>
    <xdr:to>
      <xdr:col>3</xdr:col>
      <xdr:colOff>60385</xdr:colOff>
      <xdr:row>13</xdr:row>
      <xdr:rowOff>122398</xdr:rowOff>
    </xdr:to>
    <xdr:cxnSp macro="">
      <xdr:nvCxnSpPr>
        <xdr:cNvPr id="34" name="Straight Arrow Connector 33"/>
        <xdr:cNvCxnSpPr>
          <a:stCxn id="31" idx="0"/>
          <a:endCxn id="33" idx="2"/>
        </xdr:cNvCxnSpPr>
      </xdr:nvCxnSpPr>
      <xdr:spPr>
        <a:xfrm flipV="1">
          <a:off x="2475309" y="2435171"/>
          <a:ext cx="0" cy="352303"/>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59230</xdr:colOff>
      <xdr:row>7</xdr:row>
      <xdr:rowOff>117828</xdr:rowOff>
    </xdr:from>
    <xdr:to>
      <xdr:col>3</xdr:col>
      <xdr:colOff>62337</xdr:colOff>
      <xdr:row>8</xdr:row>
      <xdr:rowOff>152400</xdr:rowOff>
    </xdr:to>
    <xdr:cxnSp macro="">
      <xdr:nvCxnSpPr>
        <xdr:cNvPr id="36" name="Straight Arrow Connector 35"/>
        <xdr:cNvCxnSpPr>
          <a:stCxn id="33" idx="0"/>
        </xdr:cNvCxnSpPr>
      </xdr:nvCxnSpPr>
      <xdr:spPr>
        <a:xfrm flipV="1">
          <a:off x="2484930" y="1730728"/>
          <a:ext cx="3107" cy="225072"/>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112568</xdr:colOff>
      <xdr:row>8</xdr:row>
      <xdr:rowOff>76968</xdr:rowOff>
    </xdr:from>
    <xdr:to>
      <xdr:col>1</xdr:col>
      <xdr:colOff>54849</xdr:colOff>
      <xdr:row>21</xdr:row>
      <xdr:rowOff>25977</xdr:rowOff>
    </xdr:to>
    <xdr:sp macro="" textlink="">
      <xdr:nvSpPr>
        <xdr:cNvPr id="37" name="Up Arrow 36"/>
        <xdr:cNvSpPr/>
      </xdr:nvSpPr>
      <xdr:spPr>
        <a:xfrm>
          <a:off x="112568" y="1817445"/>
          <a:ext cx="479145" cy="2676623"/>
        </a:xfrm>
        <a:prstGeom prst="upArrow">
          <a:avLst/>
        </a:prstGeom>
        <a:solidFill>
          <a:schemeClr val="accent2">
            <a:lumMod val="20000"/>
            <a:lumOff val="80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vert="vert270" lIns="0" tIns="0" rIns="0" bIns="0" rtlCol="0" anchor="ctr" anchorCtr="0"/>
        <a:lstStyle/>
        <a:p>
          <a:pPr marL="0" indent="0" algn="ctr"/>
          <a:r>
            <a:rPr lang="en-US" sz="1000">
              <a:solidFill>
                <a:schemeClr val="dk1"/>
              </a:solidFill>
              <a:effectLst/>
              <a:latin typeface="+mj-lt"/>
              <a:ea typeface="+mn-ea"/>
              <a:cs typeface="+mn-cs"/>
            </a:rPr>
            <a:t>Business Domain Analysis Concultant Path</a:t>
          </a:r>
        </a:p>
      </xdr:txBody>
    </xdr:sp>
    <xdr:clientData/>
  </xdr:twoCellAnchor>
  <xdr:twoCellAnchor>
    <xdr:from>
      <xdr:col>4</xdr:col>
      <xdr:colOff>202309</xdr:colOff>
      <xdr:row>18</xdr:row>
      <xdr:rowOff>63694</xdr:rowOff>
    </xdr:from>
    <xdr:to>
      <xdr:col>7</xdr:col>
      <xdr:colOff>11083</xdr:colOff>
      <xdr:row>21</xdr:row>
      <xdr:rowOff>176354</xdr:rowOff>
    </xdr:to>
    <xdr:cxnSp macro="">
      <xdr:nvCxnSpPr>
        <xdr:cNvPr id="38" name="Elbow Connector 37"/>
        <xdr:cNvCxnSpPr>
          <a:stCxn id="19" idx="1"/>
          <a:endCxn id="43" idx="3"/>
        </xdr:cNvCxnSpPr>
      </xdr:nvCxnSpPr>
      <xdr:spPr>
        <a:xfrm rot="10800000">
          <a:off x="3223370" y="3873694"/>
          <a:ext cx="895971" cy="834251"/>
        </a:xfrm>
        <a:prstGeom prst="bentConnector3">
          <a:avLst>
            <a:gd name="adj1" fmla="val 50000"/>
          </a:avLst>
        </a:prstGeom>
        <a:ln>
          <a:solidFill>
            <a:srgbClr val="FF0000"/>
          </a:solidFill>
          <a:prstDash val="dash"/>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264836</xdr:colOff>
      <xdr:row>8</xdr:row>
      <xdr:rowOff>145112</xdr:rowOff>
    </xdr:from>
    <xdr:to>
      <xdr:col>11</xdr:col>
      <xdr:colOff>152594</xdr:colOff>
      <xdr:row>19</xdr:row>
      <xdr:rowOff>181841</xdr:rowOff>
    </xdr:to>
    <xdr:sp macro="" textlink="">
      <xdr:nvSpPr>
        <xdr:cNvPr id="39" name="Up Arrow 38"/>
        <xdr:cNvSpPr/>
      </xdr:nvSpPr>
      <xdr:spPr>
        <a:xfrm>
          <a:off x="5226495" y="1885589"/>
          <a:ext cx="493894" cy="2296752"/>
        </a:xfrm>
        <a:prstGeom prst="upArrow">
          <a:avLst/>
        </a:prstGeom>
        <a:solidFill>
          <a:schemeClr val="accent4">
            <a:lumMod val="40000"/>
            <a:lumOff val="60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vert="vert270" lIns="0" tIns="0" rIns="0" bIns="0" rtlCol="0" anchor="t" anchorCtr="0"/>
        <a:lstStyle/>
        <a:p>
          <a:pPr algn="ctr"/>
          <a:r>
            <a:rPr lang="en-US" sz="1000">
              <a:latin typeface="+mj-lt"/>
            </a:rPr>
            <a:t>Software Business Analysis Lead Path Path</a:t>
          </a:r>
        </a:p>
      </xdr:txBody>
    </xdr:sp>
    <xdr:clientData/>
  </xdr:twoCellAnchor>
  <xdr:twoCellAnchor>
    <xdr:from>
      <xdr:col>23</xdr:col>
      <xdr:colOff>380824</xdr:colOff>
      <xdr:row>6</xdr:row>
      <xdr:rowOff>127632</xdr:rowOff>
    </xdr:from>
    <xdr:to>
      <xdr:col>33</xdr:col>
      <xdr:colOff>492067</xdr:colOff>
      <xdr:row>29</xdr:row>
      <xdr:rowOff>38486</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275515</xdr:colOff>
      <xdr:row>17</xdr:row>
      <xdr:rowOff>60036</xdr:rowOff>
    </xdr:from>
    <xdr:to>
      <xdr:col>4</xdr:col>
      <xdr:colOff>202308</xdr:colOff>
      <xdr:row>19</xdr:row>
      <xdr:rowOff>67349</xdr:rowOff>
    </xdr:to>
    <xdr:sp macro="" textlink="">
      <xdr:nvSpPr>
        <xdr:cNvPr id="43" name="Rounded Rectangle 42"/>
        <xdr:cNvSpPr/>
      </xdr:nvSpPr>
      <xdr:spPr>
        <a:xfrm>
          <a:off x="1680212" y="3629506"/>
          <a:ext cx="1543157" cy="48837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a:solidFill>
                <a:sysClr val="windowText" lastClr="000000"/>
              </a:solidFill>
              <a:latin typeface="Tahoma" panose="020B0604030504040204" pitchFamily="34" charset="0"/>
              <a:ea typeface="Tahoma" panose="020B0604030504040204" pitchFamily="34" charset="0"/>
              <a:cs typeface="Tahoma" panose="020B0604030504040204" pitchFamily="34" charset="0"/>
            </a:rPr>
            <a:t>Business Analysis</a:t>
          </a:r>
          <a:r>
            <a:rPr lang="en-US" sz="8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Consultant </a:t>
          </a:r>
          <a:r>
            <a:rPr lang="en-US" sz="800">
              <a:solidFill>
                <a:sysClr val="windowText" lastClr="000000"/>
              </a:solidFill>
              <a:latin typeface="Tahoma" panose="020B0604030504040204" pitchFamily="34" charset="0"/>
              <a:ea typeface="Tahoma" panose="020B0604030504040204" pitchFamily="34" charset="0"/>
              <a:cs typeface="Tahoma" panose="020B0604030504040204" pitchFamily="34" charset="0"/>
            </a:rPr>
            <a:t>BANE04</a:t>
          </a:r>
        </a:p>
      </xdr:txBody>
    </xdr:sp>
    <xdr:clientData/>
  </xdr:twoCellAnchor>
  <xdr:twoCellAnchor>
    <xdr:from>
      <xdr:col>3</xdr:col>
      <xdr:colOff>36867</xdr:colOff>
      <xdr:row>15</xdr:row>
      <xdr:rowOff>214789</xdr:rowOff>
    </xdr:from>
    <xdr:to>
      <xdr:col>3</xdr:col>
      <xdr:colOff>39005</xdr:colOff>
      <xdr:row>17</xdr:row>
      <xdr:rowOff>60036</xdr:rowOff>
    </xdr:to>
    <xdr:cxnSp macro="">
      <xdr:nvCxnSpPr>
        <xdr:cNvPr id="44" name="Straight Arrow Connector 43"/>
        <xdr:cNvCxnSpPr>
          <a:stCxn id="43" idx="0"/>
        </xdr:cNvCxnSpPr>
      </xdr:nvCxnSpPr>
      <xdr:spPr>
        <a:xfrm flipV="1">
          <a:off x="2451791" y="3303198"/>
          <a:ext cx="2138" cy="326308"/>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282094</xdr:colOff>
      <xdr:row>19</xdr:row>
      <xdr:rowOff>212245</xdr:rowOff>
    </xdr:from>
    <xdr:to>
      <xdr:col>30</xdr:col>
      <xdr:colOff>53494</xdr:colOff>
      <xdr:row>20</xdr:row>
      <xdr:rowOff>213014</xdr:rowOff>
    </xdr:to>
    <xdr:sp macro="" textlink="">
      <xdr:nvSpPr>
        <xdr:cNvPr id="3" name="Rectangle 2"/>
        <xdr:cNvSpPr/>
      </xdr:nvSpPr>
      <xdr:spPr>
        <a:xfrm>
          <a:off x="15522094" y="4262775"/>
          <a:ext cx="983673" cy="24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SBA</a:t>
          </a:r>
        </a:p>
      </xdr:txBody>
    </xdr:sp>
    <xdr:clientData/>
  </xdr:twoCellAnchor>
  <xdr:twoCellAnchor>
    <xdr:from>
      <xdr:col>13</xdr:col>
      <xdr:colOff>0</xdr:colOff>
      <xdr:row>0</xdr:row>
      <xdr:rowOff>330827</xdr:rowOff>
    </xdr:from>
    <xdr:to>
      <xdr:col>18</xdr:col>
      <xdr:colOff>267249</xdr:colOff>
      <xdr:row>15</xdr:row>
      <xdr:rowOff>129346</xdr:rowOff>
    </xdr:to>
    <xdr:sp macro="" textlink="">
      <xdr:nvSpPr>
        <xdr:cNvPr id="42" name="Rectangle 41"/>
        <xdr:cNvSpPr/>
      </xdr:nvSpPr>
      <xdr:spPr>
        <a:xfrm>
          <a:off x="9348107" y="330827"/>
          <a:ext cx="2104213" cy="2792090"/>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rPr>
            <a:t>JOB TITLE</a:t>
          </a:r>
          <a:r>
            <a:rPr lang="en-US" sz="1000" b="1" baseline="0">
              <a:solidFill>
                <a:schemeClr val="tx1"/>
              </a:solidFill>
            </a:rPr>
            <a:t> </a:t>
          </a:r>
          <a:r>
            <a:rPr lang="en-US" sz="1000" b="1">
              <a:solidFill>
                <a:schemeClr val="tx1"/>
              </a:solidFill>
            </a:rPr>
            <a:t>and RANK could be promoted</a:t>
          </a:r>
          <a:r>
            <a:rPr lang="en-US" sz="1000" b="1" baseline="0">
              <a:solidFill>
                <a:schemeClr val="tx1"/>
              </a:solidFill>
            </a:rPr>
            <a:t> from Software Business Analyst role:</a:t>
          </a:r>
        </a:p>
        <a:p>
          <a:pPr algn="l"/>
          <a:r>
            <a:rPr lang="en-US" sz="1000" b="1" u="sng" baseline="0">
              <a:solidFill>
                <a:schemeClr val="tx1"/>
              </a:solidFill>
            </a:rPr>
            <a:t>NORM</a:t>
          </a:r>
          <a:endParaRPr lang="en-US" sz="1000" b="1" u="sng">
            <a:solidFill>
              <a:schemeClr val="tx1"/>
            </a:solidFill>
          </a:endParaRPr>
        </a:p>
        <a:p>
          <a:pPr algn="l"/>
          <a:r>
            <a:rPr lang="en-US" sz="1000" b="1">
              <a:solidFill>
                <a:schemeClr val="tx1"/>
              </a:solidFill>
            </a:rPr>
            <a:t>+ Project Manager</a:t>
          </a:r>
          <a:br>
            <a:rPr lang="en-US" sz="1000" b="1">
              <a:solidFill>
                <a:schemeClr val="tx1"/>
              </a:solidFill>
            </a:rPr>
          </a:br>
          <a:r>
            <a:rPr lang="en-US" sz="1000" b="1">
              <a:solidFill>
                <a:schemeClr val="tx1"/>
              </a:solidFill>
            </a:rPr>
            <a:t>+ Project Owner</a:t>
          </a:r>
          <a:br>
            <a:rPr lang="en-US" sz="1000" b="1">
              <a:solidFill>
                <a:schemeClr val="tx1"/>
              </a:solidFill>
            </a:rPr>
          </a:br>
          <a:r>
            <a:rPr lang="en-US" sz="1100" b="1">
              <a:solidFill>
                <a:schemeClr val="tx1"/>
              </a:solidFill>
              <a:effectLst/>
              <a:latin typeface="+mn-lt"/>
              <a:ea typeface="+mn-ea"/>
              <a:cs typeface="+mn-cs"/>
            </a:rPr>
            <a:t>+ </a:t>
          </a:r>
          <a:r>
            <a:rPr lang="en-US" sz="1000" b="1">
              <a:solidFill>
                <a:schemeClr val="tx1"/>
              </a:solidFill>
            </a:rPr>
            <a:t>Scrum Master </a:t>
          </a:r>
          <a:endParaRPr lang="en-US" sz="1000" b="1" baseline="0">
            <a:solidFill>
              <a:schemeClr val="tx1"/>
            </a:solidFill>
          </a:endParaRPr>
        </a:p>
        <a:p>
          <a:pPr algn="l"/>
          <a:r>
            <a:rPr lang="en-US" sz="1000" b="1" baseline="0">
              <a:solidFill>
                <a:schemeClr val="tx1"/>
              </a:solidFill>
            </a:rPr>
            <a:t>+ Product Manager</a:t>
          </a:r>
          <a:br>
            <a:rPr lang="en-US" sz="1000" b="1" baseline="0">
              <a:solidFill>
                <a:schemeClr val="tx1"/>
              </a:solidFill>
            </a:rPr>
          </a:br>
          <a:endParaRPr lang="en-US" sz="1000" b="1" baseline="0">
            <a:solidFill>
              <a:schemeClr val="tx1"/>
            </a:solidFill>
          </a:endParaRPr>
        </a:p>
        <a:p>
          <a:pPr algn="l"/>
          <a:r>
            <a:rPr lang="en-US" sz="1000" b="1" u="sng" baseline="0">
              <a:solidFill>
                <a:schemeClr val="tx1"/>
              </a:solidFill>
            </a:rPr>
            <a:t>RARE</a:t>
          </a:r>
        </a:p>
        <a:p>
          <a:pPr algn="l"/>
          <a:r>
            <a:rPr lang="en-US" sz="1100" b="0">
              <a:solidFill>
                <a:schemeClr val="tx1"/>
              </a:solidFill>
              <a:effectLst/>
              <a:latin typeface="+mn-lt"/>
              <a:ea typeface="+mn-ea"/>
              <a:cs typeface="+mn-cs"/>
            </a:rPr>
            <a:t>+ </a:t>
          </a:r>
          <a:r>
            <a:rPr lang="en-US" sz="1000" b="0" baseline="0">
              <a:solidFill>
                <a:schemeClr val="tx1"/>
              </a:solidFill>
            </a:rPr>
            <a:t>Software Developer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 </a:t>
          </a:r>
          <a:r>
            <a:rPr lang="en-US" sz="1000" b="0" baseline="0">
              <a:solidFill>
                <a:schemeClr val="tx1"/>
              </a:solidFill>
              <a:effectLst/>
              <a:latin typeface="+mn-lt"/>
              <a:ea typeface="+mn-ea"/>
              <a:cs typeface="+mn-cs"/>
            </a:rPr>
            <a:t>Business Analyst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 </a:t>
          </a:r>
          <a:r>
            <a:rPr lang="en-US" sz="1000" b="0" baseline="0">
              <a:solidFill>
                <a:schemeClr val="tx1"/>
              </a:solidFill>
              <a:effectLst/>
              <a:latin typeface="+mn-lt"/>
              <a:ea typeface="+mn-ea"/>
              <a:cs typeface="+mn-cs"/>
            </a:rPr>
            <a:t>Quality Assurance </a:t>
          </a:r>
          <a:endParaRPr lang="en-US" sz="10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 </a:t>
          </a:r>
          <a:r>
            <a:rPr lang="en-US" sz="1000" b="0" baseline="0">
              <a:solidFill>
                <a:schemeClr val="tx1"/>
              </a:solidFill>
              <a:effectLst/>
              <a:latin typeface="+mn-lt"/>
              <a:ea typeface="+mn-ea"/>
              <a:cs typeface="+mn-cs"/>
            </a:rPr>
            <a:t>Software Tester </a:t>
          </a:r>
          <a:br>
            <a:rPr lang="en-US" sz="1000" b="0" baseline="0">
              <a:solidFill>
                <a:schemeClr val="tx1"/>
              </a:solidFill>
              <a:effectLst/>
              <a:latin typeface="+mn-lt"/>
              <a:ea typeface="+mn-ea"/>
              <a:cs typeface="+mn-cs"/>
            </a:rPr>
          </a:br>
          <a:r>
            <a:rPr lang="en-US" sz="1000" b="0" baseline="0">
              <a:solidFill>
                <a:schemeClr val="tx1"/>
              </a:solidFill>
              <a:effectLst/>
              <a:latin typeface="+mn-lt"/>
              <a:ea typeface="+mn-ea"/>
              <a:cs typeface="+mn-cs"/>
            </a:rPr>
            <a:t>+ ERP Business Analyst </a:t>
          </a:r>
          <a:br>
            <a:rPr lang="en-US" sz="1000" b="0" baseline="0">
              <a:solidFill>
                <a:schemeClr val="tx1"/>
              </a:solidFill>
              <a:effectLst/>
              <a:latin typeface="+mn-lt"/>
              <a:ea typeface="+mn-ea"/>
              <a:cs typeface="+mn-cs"/>
            </a:rPr>
          </a:br>
          <a:r>
            <a:rPr lang="en-US" sz="1000" b="0" baseline="0">
              <a:solidFill>
                <a:schemeClr val="tx1"/>
              </a:solidFill>
              <a:effectLst/>
              <a:latin typeface="+mn-lt"/>
              <a:ea typeface="+mn-ea"/>
              <a:cs typeface="+mn-cs"/>
            </a:rPr>
            <a:t>+ Comtor </a:t>
          </a:r>
          <a:br>
            <a:rPr lang="en-US" sz="1000" b="0" baseline="0">
              <a:solidFill>
                <a:schemeClr val="tx1"/>
              </a:solidFill>
              <a:effectLst/>
              <a:latin typeface="+mn-lt"/>
              <a:ea typeface="+mn-ea"/>
              <a:cs typeface="+mn-cs"/>
            </a:rPr>
          </a:br>
          <a:r>
            <a:rPr lang="en-US" sz="1000" b="0" baseline="0">
              <a:solidFill>
                <a:schemeClr val="tx1"/>
              </a:solidFill>
              <a:effectLst/>
              <a:latin typeface="+mn-lt"/>
              <a:ea typeface="+mn-ea"/>
              <a:cs typeface="+mn-cs"/>
            </a:rPr>
            <a:t>+ Bridge Software Engineer</a:t>
          </a:r>
          <a:endParaRPr lang="en-US" sz="1000">
            <a:solidFill>
              <a:schemeClr val="tx1"/>
            </a:solidFill>
            <a:effectLst/>
          </a:endParaRPr>
        </a:p>
        <a:p>
          <a:pPr algn="l"/>
          <a:endParaRPr lang="en-US" sz="1000" b="0" baseline="0">
            <a:solidFill>
              <a:schemeClr val="tx1"/>
            </a:solidFill>
          </a:endParaRPr>
        </a:p>
        <a:p>
          <a:pPr algn="l"/>
          <a:endParaRPr lang="en-US" sz="1000" b="0">
            <a:solidFill>
              <a:schemeClr val="tx1"/>
            </a:solidFill>
          </a:endParaRPr>
        </a:p>
      </xdr:txBody>
    </xdr:sp>
    <xdr:clientData/>
  </xdr:twoCellAnchor>
  <xdr:twoCellAnchor>
    <xdr:from>
      <xdr:col>13</xdr:col>
      <xdr:colOff>206165</xdr:colOff>
      <xdr:row>15</xdr:row>
      <xdr:rowOff>63732</xdr:rowOff>
    </xdr:from>
    <xdr:to>
      <xdr:col>18</xdr:col>
      <xdr:colOff>55223</xdr:colOff>
      <xdr:row>16</xdr:row>
      <xdr:rowOff>121389</xdr:rowOff>
    </xdr:to>
    <xdr:sp macro="" textlink="">
      <xdr:nvSpPr>
        <xdr:cNvPr id="45" name="Rectangle 44"/>
        <xdr:cNvSpPr/>
      </xdr:nvSpPr>
      <xdr:spPr>
        <a:xfrm>
          <a:off x="6553279" y="3129050"/>
          <a:ext cx="1667467" cy="291453"/>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Career Development</a:t>
          </a:r>
        </a:p>
      </xdr:txBody>
    </xdr:sp>
    <xdr:clientData/>
  </xdr:twoCellAnchor>
  <xdr:twoCellAnchor>
    <xdr:from>
      <xdr:col>10</xdr:col>
      <xdr:colOff>215900</xdr:colOff>
      <xdr:row>16</xdr:row>
      <xdr:rowOff>121389</xdr:rowOff>
    </xdr:from>
    <xdr:to>
      <xdr:col>15</xdr:col>
      <xdr:colOff>312536</xdr:colOff>
      <xdr:row>19</xdr:row>
      <xdr:rowOff>19874</xdr:rowOff>
    </xdr:to>
    <xdr:cxnSp macro="">
      <xdr:nvCxnSpPr>
        <xdr:cNvPr id="46" name="Elbow Connector 45"/>
        <xdr:cNvCxnSpPr>
          <a:stCxn id="10" idx="3"/>
          <a:endCxn id="45" idx="2"/>
        </xdr:cNvCxnSpPr>
      </xdr:nvCxnSpPr>
      <xdr:spPr>
        <a:xfrm flipV="1">
          <a:off x="5177559" y="3420503"/>
          <a:ext cx="2209454" cy="599871"/>
        </a:xfrm>
        <a:prstGeom prst="bentConnector2">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1382662</xdr:colOff>
      <xdr:row>37</xdr:row>
      <xdr:rowOff>94425</xdr:rowOff>
    </xdr:from>
    <xdr:to>
      <xdr:col>21</xdr:col>
      <xdr:colOff>51209</xdr:colOff>
      <xdr:row>39</xdr:row>
      <xdr:rowOff>122904</xdr:rowOff>
    </xdr:to>
    <xdr:sp macro="" textlink="">
      <xdr:nvSpPr>
        <xdr:cNvPr id="5" name="Rectangle 4"/>
        <xdr:cNvSpPr/>
      </xdr:nvSpPr>
      <xdr:spPr>
        <a:xfrm>
          <a:off x="12105968" y="9834506"/>
          <a:ext cx="4864918" cy="397188"/>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tx1">
                  <a:lumMod val="65000"/>
                  <a:lumOff val="35000"/>
                </a:schemeClr>
              </a:solidFill>
              <a:effectLst/>
              <a:latin typeface="+mn-lt"/>
              <a:ea typeface="+mn-ea"/>
              <a:cs typeface="+mn-cs"/>
            </a:rPr>
            <a:t>Graph Scenario of Ranks</a:t>
          </a:r>
          <a:endParaRPr lang="en-US" sz="1800" b="1">
            <a:solidFill>
              <a:schemeClr val="tx1">
                <a:lumMod val="65000"/>
                <a:lumOff val="35000"/>
              </a:schemeClr>
            </a:solidFill>
            <a:effectLst/>
          </a:endParaRPr>
        </a:p>
      </xdr:txBody>
    </xdr:sp>
    <xdr:clientData/>
  </xdr:twoCellAnchor>
  <xdr:twoCellAnchor>
    <xdr:from>
      <xdr:col>1</xdr:col>
      <xdr:colOff>697</xdr:colOff>
      <xdr:row>25</xdr:row>
      <xdr:rowOff>148301</xdr:rowOff>
    </xdr:from>
    <xdr:to>
      <xdr:col>11</xdr:col>
      <xdr:colOff>4785</xdr:colOff>
      <xdr:row>27</xdr:row>
      <xdr:rowOff>24581</xdr:rowOff>
    </xdr:to>
    <xdr:sp macro="" textlink="">
      <xdr:nvSpPr>
        <xdr:cNvPr id="8" name="Rectangle 7"/>
        <xdr:cNvSpPr/>
      </xdr:nvSpPr>
      <xdr:spPr>
        <a:xfrm>
          <a:off x="234213" y="7436462"/>
          <a:ext cx="8668766" cy="417054"/>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tx1">
                  <a:lumMod val="65000"/>
                  <a:lumOff val="35000"/>
                </a:schemeClr>
              </a:solidFill>
              <a:effectLst/>
              <a:latin typeface="+mn-lt"/>
              <a:ea typeface="+mn-ea"/>
              <a:cs typeface="+mn-cs"/>
            </a:rPr>
            <a:t>Software Business Analyst Skills Gaps</a:t>
          </a:r>
        </a:p>
      </xdr:txBody>
    </xdr:sp>
    <xdr:clientData/>
  </xdr:twoCellAnchor>
  <xdr:twoCellAnchor>
    <xdr:from>
      <xdr:col>1</xdr:col>
      <xdr:colOff>40705</xdr:colOff>
      <xdr:row>29</xdr:row>
      <xdr:rowOff>81935</xdr:rowOff>
    </xdr:from>
    <xdr:to>
      <xdr:col>11</xdr:col>
      <xdr:colOff>10242</xdr:colOff>
      <xdr:row>55</xdr:row>
      <xdr:rowOff>113974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769460</xdr:colOff>
      <xdr:row>43</xdr:row>
      <xdr:rowOff>116076</xdr:rowOff>
    </xdr:from>
    <xdr:to>
      <xdr:col>26</xdr:col>
      <xdr:colOff>112924</xdr:colOff>
      <xdr:row>68</xdr:row>
      <xdr:rowOff>148640</xdr:rowOff>
    </xdr:to>
    <xdr:grpSp>
      <xdr:nvGrpSpPr>
        <xdr:cNvPr id="6" name="Group 5"/>
        <xdr:cNvGrpSpPr/>
      </xdr:nvGrpSpPr>
      <xdr:grpSpPr>
        <a:xfrm>
          <a:off x="8850799" y="11414372"/>
          <a:ext cx="13501236" cy="4501083"/>
          <a:chOff x="4829321" y="4220181"/>
          <a:chExt cx="4975877" cy="4451333"/>
        </a:xfrm>
      </xdr:grpSpPr>
      <xdr:graphicFrame macro="">
        <xdr:nvGraphicFramePr>
          <xdr:cNvPr id="2" name="Chart 1">
            <a:extLst>
              <a:ext uri="{FF2B5EF4-FFF2-40B4-BE49-F238E27FC236}">
                <a16:creationId xmlns:a16="http://schemas.microsoft.com/office/drawing/2014/main" xmlns="" id="{00000000-0008-0000-0600-000002000000}"/>
              </a:ext>
            </a:extLst>
          </xdr:cNvPr>
          <xdr:cNvGraphicFramePr/>
        </xdr:nvGraphicFramePr>
        <xdr:xfrm>
          <a:off x="4829321" y="4220181"/>
          <a:ext cx="4975877" cy="445133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 name="Rectangle 2"/>
          <xdr:cNvSpPr/>
        </xdr:nvSpPr>
        <xdr:spPr>
          <a:xfrm>
            <a:off x="5671207" y="6448535"/>
            <a:ext cx="3393965"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8" Type="http://schemas.openxmlformats.org/officeDocument/2006/relationships/hyperlink" Target="https://fpt-software.udemy.com/course/strategy-for-management-consultants-business-analysts/learn/lecture/10178254" TargetMode="External"/><Relationship Id="rId3" Type="http://schemas.openxmlformats.org/officeDocument/2006/relationships/hyperlink" Target="https://fpt-software.udemy.com/course/businessanalysis/learn/lecture/6916848" TargetMode="External"/><Relationship Id="rId7" Type="http://schemas.openxmlformats.org/officeDocument/2006/relationships/hyperlink" Target="https://fpt-software.udemy.com/course/project-management-for-business-analyst/learn/lecture/5454838" TargetMode="External"/><Relationship Id="rId2" Type="http://schemas.openxmlformats.org/officeDocument/2006/relationships/hyperlink" Target="https://fpt-software.udemy.com/course/business-cases/learn/lecture/8565686" TargetMode="External"/><Relationship Id="rId1" Type="http://schemas.openxmlformats.org/officeDocument/2006/relationships/hyperlink" Target="https://fpt-software.udemy.com/course/agile-business-analysis/learn/lecture/8003724" TargetMode="External"/><Relationship Id="rId6" Type="http://schemas.openxmlformats.org/officeDocument/2006/relationships/hyperlink" Target="https://fpt-software.udemy.com/course/project-management-for-business-analyst/learn/lecture/5454838" TargetMode="External"/><Relationship Id="rId11" Type="http://schemas.openxmlformats.org/officeDocument/2006/relationships/printerSettings" Target="../printerSettings/printerSettings9.bin"/><Relationship Id="rId5" Type="http://schemas.openxmlformats.org/officeDocument/2006/relationships/hyperlink" Target="https://fpt-software.udemy.com/course/identify-functional-and-non-functional-requirements/learn/lecture/1608010" TargetMode="External"/><Relationship Id="rId10" Type="http://schemas.openxmlformats.org/officeDocument/2006/relationships/hyperlink" Target="https://fpt-software.udemy.com/course/business-analysis-study-guide/learn/lecture/15304154" TargetMode="External"/><Relationship Id="rId4" Type="http://schemas.openxmlformats.org/officeDocument/2006/relationships/hyperlink" Target="https://fpt-software.udemy.com/course/usecases/learn/lecture/10171542" TargetMode="External"/><Relationship Id="rId9" Type="http://schemas.openxmlformats.org/officeDocument/2006/relationships/hyperlink" Target="https://fpt-software.udemy.com/course/postman-api-testing-step-by-step-for-beginners/learn/lecture/23643176"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9"/>
  <sheetViews>
    <sheetView zoomScale="70" zoomScaleNormal="70" workbookViewId="0">
      <selection activeCell="I18" sqref="I18"/>
    </sheetView>
  </sheetViews>
  <sheetFormatPr defaultColWidth="8.6640625" defaultRowHeight="13.2"/>
  <cols>
    <col min="1" max="1" width="2.33203125" style="272" customWidth="1"/>
    <col min="2" max="14" width="8.6640625" style="272"/>
    <col min="15" max="15" width="9.6640625" style="272" customWidth="1"/>
    <col min="16" max="16" width="2.21875" style="272" customWidth="1"/>
    <col min="17" max="16384" width="8.6640625" style="272"/>
  </cols>
  <sheetData>
    <row r="2" spans="2:15">
      <c r="B2" s="269"/>
      <c r="C2" s="270"/>
      <c r="D2" s="270"/>
      <c r="E2" s="270"/>
      <c r="F2" s="270"/>
      <c r="G2" s="270"/>
      <c r="H2" s="270"/>
      <c r="I2" s="270"/>
      <c r="J2" s="270"/>
      <c r="K2" s="270"/>
      <c r="L2" s="270"/>
      <c r="M2" s="270"/>
      <c r="N2" s="270"/>
      <c r="O2" s="271"/>
    </row>
    <row r="3" spans="2:15">
      <c r="B3" s="273"/>
      <c r="O3" s="274"/>
    </row>
    <row r="4" spans="2:15">
      <c r="B4" s="273"/>
      <c r="O4" s="274"/>
    </row>
    <row r="5" spans="2:15">
      <c r="B5" s="273"/>
      <c r="I5" s="275"/>
      <c r="O5" s="274"/>
    </row>
    <row r="6" spans="2:15">
      <c r="B6" s="273"/>
      <c r="O6" s="274"/>
    </row>
    <row r="7" spans="2:15">
      <c r="B7" s="276"/>
      <c r="O7" s="274"/>
    </row>
    <row r="8" spans="2:15">
      <c r="B8" s="276"/>
      <c r="O8" s="274"/>
    </row>
    <row r="9" spans="2:15" ht="22.8">
      <c r="B9" s="434" t="s">
        <v>620</v>
      </c>
      <c r="C9" s="435"/>
      <c r="D9" s="435"/>
      <c r="E9" s="435"/>
      <c r="F9" s="435"/>
      <c r="G9" s="435"/>
      <c r="H9" s="435"/>
      <c r="I9" s="435"/>
      <c r="J9" s="435"/>
      <c r="K9" s="435"/>
      <c r="L9" s="435"/>
      <c r="M9" s="435"/>
      <c r="N9" s="435"/>
      <c r="O9" s="436"/>
    </row>
    <row r="10" spans="2:15">
      <c r="B10" s="276"/>
      <c r="F10" s="277"/>
      <c r="O10" s="274"/>
    </row>
    <row r="11" spans="2:15">
      <c r="B11" s="437" t="s">
        <v>621</v>
      </c>
      <c r="C11" s="438"/>
      <c r="D11" s="438"/>
      <c r="E11" s="438"/>
      <c r="F11" s="438"/>
      <c r="G11" s="438"/>
      <c r="H11" s="438"/>
      <c r="I11" s="438"/>
      <c r="J11" s="438"/>
      <c r="K11" s="438"/>
      <c r="L11" s="438"/>
      <c r="M11" s="438"/>
      <c r="N11" s="438"/>
      <c r="O11" s="439"/>
    </row>
    <row r="12" spans="2:15">
      <c r="B12" s="437"/>
      <c r="C12" s="438"/>
      <c r="D12" s="438"/>
      <c r="E12" s="438"/>
      <c r="F12" s="438"/>
      <c r="G12" s="438"/>
      <c r="H12" s="438"/>
      <c r="I12" s="438"/>
      <c r="J12" s="438"/>
      <c r="K12" s="438"/>
      <c r="L12" s="438"/>
      <c r="M12" s="438"/>
      <c r="N12" s="438"/>
      <c r="O12" s="439"/>
    </row>
    <row r="13" spans="2:15">
      <c r="B13" s="276"/>
      <c r="O13" s="274"/>
    </row>
    <row r="14" spans="2:15">
      <c r="B14" s="276"/>
      <c r="O14" s="274"/>
    </row>
    <row r="15" spans="2:15">
      <c r="B15" s="276"/>
      <c r="F15" s="440" t="s">
        <v>161</v>
      </c>
      <c r="G15" s="441"/>
      <c r="H15" s="441"/>
      <c r="I15" s="442" t="s">
        <v>225</v>
      </c>
      <c r="J15" s="442"/>
      <c r="K15" s="443"/>
      <c r="O15" s="274"/>
    </row>
    <row r="16" spans="2:15">
      <c r="B16" s="276"/>
      <c r="F16" s="444" t="s">
        <v>227</v>
      </c>
      <c r="G16" s="445"/>
      <c r="H16" s="445"/>
      <c r="I16" s="446" t="s">
        <v>226</v>
      </c>
      <c r="J16" s="446"/>
      <c r="K16" s="447"/>
      <c r="O16" s="274"/>
    </row>
    <row r="17" spans="2:15">
      <c r="B17" s="276"/>
      <c r="F17" s="429" t="s">
        <v>228</v>
      </c>
      <c r="G17" s="430"/>
      <c r="H17" s="430"/>
      <c r="I17" s="431" t="s">
        <v>680</v>
      </c>
      <c r="J17" s="432"/>
      <c r="K17" s="433"/>
      <c r="O17" s="274"/>
    </row>
    <row r="18" spans="2:15">
      <c r="B18" s="276"/>
      <c r="O18" s="274"/>
    </row>
    <row r="19" spans="2:15">
      <c r="B19" s="276"/>
      <c r="O19" s="274"/>
    </row>
    <row r="20" spans="2:15" s="279" customFormat="1" ht="19.5" customHeight="1">
      <c r="B20" s="278"/>
      <c r="C20" s="284"/>
      <c r="D20" s="284"/>
      <c r="E20" s="284"/>
      <c r="F20" s="284"/>
      <c r="G20" s="372"/>
      <c r="H20" s="284"/>
      <c r="I20" s="284"/>
      <c r="J20" s="284"/>
      <c r="K20" s="284"/>
      <c r="L20" s="284"/>
      <c r="M20" s="284"/>
      <c r="N20" s="373"/>
      <c r="O20" s="280"/>
    </row>
    <row r="21" spans="2:15" s="279" customFormat="1">
      <c r="B21" s="278"/>
      <c r="C21" s="284"/>
      <c r="D21" s="284"/>
      <c r="E21" s="284"/>
      <c r="F21" s="284"/>
      <c r="G21" s="372"/>
      <c r="H21" s="284"/>
      <c r="I21" s="284"/>
      <c r="J21" s="284"/>
      <c r="K21" s="284"/>
      <c r="L21" s="284"/>
      <c r="M21" s="284"/>
      <c r="N21" s="373"/>
      <c r="O21" s="280"/>
    </row>
    <row r="22" spans="2:15" ht="19.95" customHeight="1">
      <c r="B22" s="276"/>
      <c r="C22" s="374"/>
      <c r="D22" s="374"/>
      <c r="E22" s="374"/>
      <c r="F22" s="375"/>
      <c r="G22" s="376"/>
      <c r="H22" s="374"/>
      <c r="I22" s="374"/>
      <c r="J22" s="374"/>
      <c r="K22" s="374"/>
      <c r="L22" s="374"/>
      <c r="M22" s="374"/>
      <c r="N22" s="374"/>
      <c r="O22" s="274"/>
    </row>
    <row r="23" spans="2:15" ht="19.95" customHeight="1">
      <c r="B23" s="276"/>
      <c r="C23" s="374"/>
      <c r="D23" s="374"/>
      <c r="E23" s="374"/>
      <c r="F23" s="375"/>
      <c r="G23" s="376"/>
      <c r="H23" s="374"/>
      <c r="I23" s="374"/>
      <c r="J23" s="374"/>
      <c r="K23" s="374"/>
      <c r="L23" s="374"/>
      <c r="M23" s="374"/>
      <c r="N23" s="374"/>
      <c r="O23" s="274"/>
    </row>
    <row r="24" spans="2:15" ht="19.95" customHeight="1">
      <c r="B24" s="276"/>
      <c r="C24" s="374"/>
      <c r="D24" s="374"/>
      <c r="E24" s="374"/>
      <c r="F24" s="375"/>
      <c r="G24" s="376"/>
      <c r="H24" s="374"/>
      <c r="I24" s="374"/>
      <c r="J24" s="374"/>
      <c r="K24" s="374"/>
      <c r="L24" s="374"/>
      <c r="M24" s="374"/>
      <c r="N24" s="374"/>
      <c r="O24" s="274"/>
    </row>
    <row r="25" spans="2:15" ht="19.95" customHeight="1">
      <c r="B25" s="276"/>
      <c r="C25" s="374"/>
      <c r="D25" s="374"/>
      <c r="E25" s="374"/>
      <c r="F25" s="375"/>
      <c r="G25" s="376"/>
      <c r="H25" s="374"/>
      <c r="I25" s="374"/>
      <c r="J25" s="374"/>
      <c r="K25" s="374"/>
      <c r="L25" s="374"/>
      <c r="M25" s="374"/>
      <c r="N25" s="374"/>
      <c r="O25" s="274"/>
    </row>
    <row r="26" spans="2:15" ht="19.95" hidden="1" customHeight="1">
      <c r="B26" s="276"/>
      <c r="C26" s="374"/>
      <c r="D26" s="374"/>
      <c r="E26" s="374"/>
      <c r="F26" s="375"/>
      <c r="G26" s="376"/>
      <c r="H26" s="374"/>
      <c r="I26" s="374"/>
      <c r="J26" s="374"/>
      <c r="K26" s="374"/>
      <c r="L26" s="374"/>
      <c r="M26" s="374"/>
      <c r="N26" s="374"/>
      <c r="O26" s="274"/>
    </row>
    <row r="27" spans="2:15" ht="19.95" hidden="1" customHeight="1">
      <c r="B27" s="276"/>
      <c r="C27" s="374"/>
      <c r="D27" s="374"/>
      <c r="E27" s="374"/>
      <c r="F27" s="375"/>
      <c r="G27" s="376"/>
      <c r="H27" s="374"/>
      <c r="I27" s="374"/>
      <c r="J27" s="374"/>
      <c r="K27" s="374"/>
      <c r="L27" s="374"/>
      <c r="M27" s="374"/>
      <c r="N27" s="374"/>
      <c r="O27" s="274"/>
    </row>
    <row r="28" spans="2:15">
      <c r="B28" s="276"/>
      <c r="C28" s="374"/>
      <c r="D28" s="374"/>
      <c r="E28" s="374"/>
      <c r="F28" s="374"/>
      <c r="G28" s="376"/>
      <c r="H28" s="374"/>
      <c r="I28" s="374"/>
      <c r="J28" s="374"/>
      <c r="K28" s="374"/>
      <c r="L28" s="374"/>
      <c r="M28" s="374"/>
      <c r="N28" s="374"/>
      <c r="O28" s="274"/>
    </row>
    <row r="29" spans="2:15">
      <c r="B29" s="281"/>
      <c r="C29" s="282"/>
      <c r="D29" s="282"/>
      <c r="E29" s="282"/>
      <c r="F29" s="282"/>
      <c r="G29" s="282"/>
      <c r="H29" s="282"/>
      <c r="I29" s="282"/>
      <c r="J29" s="282"/>
      <c r="K29" s="282"/>
      <c r="L29" s="282"/>
      <c r="M29" s="282"/>
      <c r="N29" s="282"/>
      <c r="O29" s="283"/>
    </row>
  </sheetData>
  <mergeCells count="8">
    <mergeCell ref="F17:H17"/>
    <mergeCell ref="I17:K17"/>
    <mergeCell ref="B9:O9"/>
    <mergeCell ref="B11:O12"/>
    <mergeCell ref="F15:H15"/>
    <mergeCell ref="I15:K15"/>
    <mergeCell ref="F16:H16"/>
    <mergeCell ref="I16:K16"/>
  </mergeCells>
  <pageMargins left="0.7" right="0.7" top="0.75" bottom="0.75" header="0.3" footer="0.3"/>
  <ignoredErrors>
    <ignoredError sqref="I16"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B31" sqref="B31"/>
    </sheetView>
  </sheetViews>
  <sheetFormatPr defaultRowHeight="14.4"/>
  <sheetData>
    <row r="1" spans="1:7">
      <c r="A1" s="377" t="s">
        <v>623</v>
      </c>
      <c r="B1" s="378"/>
      <c r="C1" s="378"/>
      <c r="D1" s="378"/>
      <c r="E1" s="378"/>
      <c r="F1" s="378"/>
      <c r="G1" s="379"/>
    </row>
    <row r="2" spans="1:7">
      <c r="A2" s="379"/>
      <c r="B2" s="379"/>
      <c r="C2" s="379"/>
      <c r="D2" s="379"/>
      <c r="E2" s="379"/>
      <c r="F2" s="379"/>
      <c r="G2" s="379"/>
    </row>
    <row r="3" spans="1:7">
      <c r="A3" s="380">
        <v>1</v>
      </c>
      <c r="B3" s="381" t="s">
        <v>624</v>
      </c>
      <c r="C3" s="378"/>
      <c r="D3" s="378"/>
      <c r="E3" s="378"/>
      <c r="F3" s="378"/>
      <c r="G3" s="382" t="s">
        <v>625</v>
      </c>
    </row>
    <row r="4" spans="1:7">
      <c r="A4" s="380">
        <v>2</v>
      </c>
      <c r="B4" s="381" t="s">
        <v>626</v>
      </c>
      <c r="C4" s="378"/>
      <c r="D4" s="378"/>
      <c r="E4" s="378"/>
      <c r="F4" s="378"/>
      <c r="G4" s="382" t="s">
        <v>625</v>
      </c>
    </row>
    <row r="5" spans="1:7">
      <c r="A5" s="380">
        <v>3</v>
      </c>
      <c r="B5" s="381" t="s">
        <v>627</v>
      </c>
      <c r="C5" s="378"/>
      <c r="D5" s="378"/>
      <c r="E5" s="378"/>
      <c r="F5" s="378"/>
      <c r="G5" s="382" t="s">
        <v>625</v>
      </c>
    </row>
    <row r="6" spans="1:7">
      <c r="A6" s="380">
        <v>4</v>
      </c>
      <c r="B6" s="381" t="s">
        <v>628</v>
      </c>
      <c r="C6" s="378"/>
      <c r="D6" s="378"/>
      <c r="E6" s="378"/>
      <c r="F6" s="378"/>
      <c r="G6" s="382" t="s">
        <v>625</v>
      </c>
    </row>
    <row r="7" spans="1:7">
      <c r="A7" s="380">
        <v>5</v>
      </c>
      <c r="B7" s="381" t="s">
        <v>629</v>
      </c>
      <c r="C7" s="378"/>
      <c r="D7" s="378"/>
      <c r="E7" s="378"/>
      <c r="F7" s="378"/>
      <c r="G7" s="382" t="s">
        <v>625</v>
      </c>
    </row>
    <row r="8" spans="1:7">
      <c r="A8" s="383">
        <v>6</v>
      </c>
      <c r="B8" s="384" t="s">
        <v>630</v>
      </c>
      <c r="C8" s="379"/>
      <c r="D8" s="379"/>
      <c r="E8" s="379"/>
      <c r="F8" s="379"/>
      <c r="G8" s="382" t="s">
        <v>625</v>
      </c>
    </row>
    <row r="9" spans="1:7">
      <c r="A9" s="383">
        <v>7</v>
      </c>
      <c r="B9" s="384" t="s">
        <v>79</v>
      </c>
      <c r="C9" s="379"/>
      <c r="D9" s="379"/>
      <c r="E9" s="379"/>
      <c r="F9" s="379"/>
      <c r="G9" s="382" t="s">
        <v>625</v>
      </c>
    </row>
    <row r="10" spans="1:7">
      <c r="A10" s="383">
        <v>8</v>
      </c>
      <c r="B10" s="384" t="s">
        <v>631</v>
      </c>
      <c r="C10" s="379"/>
      <c r="D10" s="379"/>
      <c r="E10" s="379"/>
      <c r="F10" s="379"/>
      <c r="G10" s="382" t="s">
        <v>625</v>
      </c>
    </row>
    <row r="11" spans="1:7">
      <c r="A11" s="383">
        <v>9</v>
      </c>
      <c r="B11" s="379" t="s">
        <v>632</v>
      </c>
      <c r="C11" s="379"/>
      <c r="D11" s="379"/>
      <c r="E11" s="379"/>
      <c r="F11" s="379"/>
      <c r="G11" s="382" t="s">
        <v>625</v>
      </c>
    </row>
  </sheetData>
  <sheetProtection sheet="1" objects="1" scenarios="1"/>
  <hyperlinks>
    <hyperlink ref="G8" location="'06. Assessment Summary'!A1" display="Click me"/>
    <hyperlink ref="G3" location="'01. Guidelines'!A1" display="Click me"/>
    <hyperlink ref="G4" location="'02. Models'!A1" display="Click me"/>
    <hyperlink ref="G6" location="'04. Job Descriptions'!A1" display="Click me"/>
    <hyperlink ref="G5" location="'03. Career Paths'!A1" display="Click me"/>
    <hyperlink ref="G7" location="'05. Job Rankings'!A1" display="Click me"/>
    <hyperlink ref="G9" location="'07. Roles &amp; Responsibilities'!A1" display="Click me"/>
    <hyperlink ref="G10" location="'08. Definitions'!A1" display="Click me"/>
    <hyperlink ref="G11" location="'09. Record of Change'!A1" display="Click her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89" zoomScaleNormal="89" workbookViewId="0">
      <selection activeCell="H9" sqref="H9"/>
    </sheetView>
  </sheetViews>
  <sheetFormatPr defaultColWidth="9.21875" defaultRowHeight="12"/>
  <cols>
    <col min="1" max="1" width="3.88671875" style="57" customWidth="1"/>
    <col min="2" max="2" width="5.44140625" style="57" customWidth="1"/>
    <col min="3" max="3" width="8.21875" style="57" customWidth="1"/>
    <col min="4" max="4" width="22.21875" style="57" customWidth="1"/>
    <col min="5" max="7" width="17.44140625" style="57" customWidth="1"/>
    <col min="8" max="8" width="27" style="57" customWidth="1"/>
    <col min="9" max="9" width="12.21875" style="57" customWidth="1"/>
    <col min="10" max="10" width="20" style="57" customWidth="1"/>
    <col min="11" max="12" width="7.77734375" style="57" customWidth="1"/>
    <col min="13" max="16384" width="9.21875" style="57"/>
  </cols>
  <sheetData>
    <row r="1" spans="1:10" ht="31.05" customHeight="1">
      <c r="A1" s="407" t="s">
        <v>624</v>
      </c>
    </row>
    <row r="2" spans="1:10" s="202" customFormat="1" ht="19.2" customHeight="1">
      <c r="B2" s="291" t="s">
        <v>241</v>
      </c>
    </row>
    <row r="3" spans="1:10" s="202" customFormat="1" ht="19.2" customHeight="1">
      <c r="B3" s="414" t="s">
        <v>56</v>
      </c>
      <c r="C3" s="415"/>
      <c r="D3" s="415"/>
      <c r="E3" s="415"/>
      <c r="F3" s="415"/>
      <c r="G3" s="415"/>
      <c r="H3" s="415"/>
      <c r="I3" s="415"/>
      <c r="J3" s="415"/>
    </row>
    <row r="4" spans="1:10" s="202" customFormat="1" ht="19.2" customHeight="1">
      <c r="B4" s="422" t="s">
        <v>679</v>
      </c>
      <c r="C4" s="415"/>
      <c r="D4" s="415"/>
      <c r="E4" s="415"/>
      <c r="F4" s="415"/>
      <c r="G4" s="415"/>
      <c r="H4" s="415"/>
      <c r="I4" s="415"/>
      <c r="J4" s="415"/>
    </row>
    <row r="5" spans="1:10" s="202" customFormat="1" ht="20.399999999999999" customHeight="1">
      <c r="B5" s="448" t="s">
        <v>678</v>
      </c>
      <c r="C5" s="449"/>
      <c r="D5" s="449"/>
      <c r="E5" s="449"/>
      <c r="F5" s="449"/>
      <c r="G5" s="449"/>
      <c r="H5" s="449"/>
      <c r="I5" s="449"/>
      <c r="J5" s="449"/>
    </row>
    <row r="6" spans="1:10" s="202" customFormat="1" ht="19.2" customHeight="1">
      <c r="B6" s="414" t="s">
        <v>57</v>
      </c>
      <c r="C6" s="415"/>
      <c r="D6" s="415"/>
      <c r="E6" s="415"/>
      <c r="F6" s="415"/>
      <c r="G6" s="415"/>
      <c r="H6" s="415"/>
      <c r="I6" s="415"/>
      <c r="J6" s="415"/>
    </row>
    <row r="7" spans="1:10" s="202" customFormat="1" ht="19.2" customHeight="1">
      <c r="B7" s="423" t="s">
        <v>239</v>
      </c>
      <c r="C7" s="415"/>
      <c r="D7" s="415"/>
      <c r="E7" s="415"/>
      <c r="F7" s="415"/>
      <c r="G7" s="415"/>
      <c r="H7" s="415"/>
      <c r="I7" s="415"/>
      <c r="J7" s="415"/>
    </row>
    <row r="8" spans="1:10" s="202" customFormat="1" ht="19.2" customHeight="1">
      <c r="B8" s="418" t="s">
        <v>240</v>
      </c>
      <c r="C8" s="415"/>
      <c r="D8" s="415"/>
      <c r="E8" s="415"/>
      <c r="F8" s="415"/>
      <c r="G8" s="415"/>
      <c r="H8" s="415"/>
      <c r="I8" s="415"/>
      <c r="J8" s="415"/>
    </row>
    <row r="9" spans="1:10" s="202" customFormat="1" ht="19.2" customHeight="1">
      <c r="B9" s="414" t="s">
        <v>58</v>
      </c>
      <c r="C9" s="415"/>
      <c r="D9" s="415"/>
      <c r="E9" s="415"/>
      <c r="F9" s="415"/>
      <c r="G9" s="415"/>
      <c r="H9" s="415"/>
      <c r="I9" s="415"/>
      <c r="J9" s="415"/>
    </row>
    <row r="10" spans="1:10" s="202" customFormat="1" ht="19.2" customHeight="1">
      <c r="B10" s="414"/>
      <c r="C10" s="415" t="s">
        <v>229</v>
      </c>
      <c r="D10" s="415"/>
      <c r="E10" s="415"/>
      <c r="F10" s="415"/>
      <c r="G10" s="415"/>
      <c r="H10" s="415"/>
      <c r="I10" s="415"/>
      <c r="J10" s="415"/>
    </row>
    <row r="11" spans="1:10" s="202" customFormat="1" ht="19.2" customHeight="1">
      <c r="B11" s="418"/>
      <c r="C11" s="415" t="s">
        <v>230</v>
      </c>
      <c r="D11" s="415"/>
      <c r="E11" s="415"/>
      <c r="F11" s="415"/>
      <c r="G11" s="415"/>
      <c r="H11" s="415"/>
      <c r="I11" s="415"/>
      <c r="J11" s="415"/>
    </row>
    <row r="12" spans="1:10" s="202" customFormat="1" ht="19.2" customHeight="1">
      <c r="B12" s="418"/>
      <c r="C12" s="415" t="s">
        <v>519</v>
      </c>
      <c r="D12" s="415"/>
      <c r="E12" s="415"/>
      <c r="F12" s="415"/>
      <c r="G12" s="415"/>
      <c r="H12" s="415"/>
      <c r="I12" s="415"/>
      <c r="J12" s="415"/>
    </row>
    <row r="13" spans="1:10" s="202" customFormat="1" ht="19.2" customHeight="1">
      <c r="B13" s="418"/>
      <c r="C13" s="415" t="s">
        <v>601</v>
      </c>
      <c r="D13" s="415"/>
      <c r="E13" s="415"/>
      <c r="F13" s="415"/>
      <c r="G13" s="415"/>
      <c r="H13" s="415"/>
      <c r="I13" s="415"/>
      <c r="J13" s="415"/>
    </row>
    <row r="14" spans="1:10" s="202" customFormat="1" ht="19.2" customHeight="1">
      <c r="B14" s="416" t="s">
        <v>48</v>
      </c>
      <c r="C14" s="415"/>
      <c r="D14" s="415"/>
      <c r="E14" s="415"/>
      <c r="F14" s="415"/>
      <c r="G14" s="415"/>
      <c r="H14" s="415"/>
      <c r="I14" s="415"/>
      <c r="J14" s="415"/>
    </row>
    <row r="15" spans="1:10" s="202" customFormat="1" ht="19.2" customHeight="1">
      <c r="B15" s="418"/>
      <c r="C15" s="416" t="s">
        <v>43</v>
      </c>
      <c r="D15" s="414" t="s">
        <v>231</v>
      </c>
      <c r="E15" s="415"/>
      <c r="F15" s="415"/>
      <c r="G15" s="415"/>
      <c r="H15" s="415"/>
      <c r="I15" s="415"/>
      <c r="J15" s="415"/>
    </row>
    <row r="16" spans="1:10" s="202" customFormat="1" ht="19.2" customHeight="1">
      <c r="B16" s="418"/>
      <c r="C16" s="416"/>
      <c r="D16" s="418" t="s">
        <v>671</v>
      </c>
      <c r="E16" s="415"/>
      <c r="F16" s="415"/>
      <c r="G16" s="415"/>
      <c r="H16" s="415"/>
      <c r="I16" s="415"/>
      <c r="J16" s="415"/>
    </row>
    <row r="17" spans="2:10" s="202" customFormat="1" ht="19.2" customHeight="1">
      <c r="B17" s="418"/>
      <c r="C17" s="416"/>
      <c r="D17" s="418" t="s">
        <v>672</v>
      </c>
      <c r="E17" s="415"/>
      <c r="F17" s="415"/>
      <c r="G17" s="415"/>
      <c r="H17" s="415"/>
      <c r="I17" s="415"/>
      <c r="J17" s="415"/>
    </row>
    <row r="18" spans="2:10" s="202" customFormat="1" ht="19.2" customHeight="1">
      <c r="B18" s="418"/>
      <c r="C18" s="416"/>
      <c r="D18" s="418" t="s">
        <v>673</v>
      </c>
      <c r="E18" s="415"/>
      <c r="F18" s="415"/>
      <c r="G18" s="415"/>
      <c r="H18" s="415"/>
      <c r="I18" s="415"/>
      <c r="J18" s="415"/>
    </row>
    <row r="19" spans="2:10" s="202" customFormat="1" ht="19.2" customHeight="1">
      <c r="B19" s="418"/>
      <c r="C19" s="416" t="s">
        <v>44</v>
      </c>
      <c r="D19" s="414" t="s">
        <v>232</v>
      </c>
      <c r="E19" s="415"/>
      <c r="F19" s="415"/>
      <c r="G19" s="415"/>
      <c r="H19" s="415"/>
      <c r="I19" s="415"/>
      <c r="J19" s="415"/>
    </row>
    <row r="20" spans="2:10" s="202" customFormat="1" ht="19.2" customHeight="1">
      <c r="B20" s="418"/>
      <c r="C20" s="416"/>
      <c r="D20" s="418" t="s">
        <v>674</v>
      </c>
      <c r="E20" s="415"/>
      <c r="F20" s="415"/>
      <c r="G20" s="415"/>
      <c r="H20" s="415"/>
      <c r="I20" s="415"/>
      <c r="J20" s="415"/>
    </row>
    <row r="21" spans="2:10" s="202" customFormat="1" ht="19.2" customHeight="1">
      <c r="B21" s="418"/>
      <c r="C21" s="416"/>
      <c r="D21" s="418" t="s">
        <v>675</v>
      </c>
      <c r="E21" s="415"/>
      <c r="F21" s="415"/>
      <c r="G21" s="415"/>
      <c r="H21" s="415"/>
      <c r="I21" s="415"/>
      <c r="J21" s="415"/>
    </row>
    <row r="22" spans="2:10" s="202" customFormat="1" ht="19.2" customHeight="1">
      <c r="B22" s="418"/>
      <c r="C22" s="416" t="s">
        <v>45</v>
      </c>
      <c r="D22" s="414" t="s">
        <v>676</v>
      </c>
      <c r="E22" s="415"/>
      <c r="F22" s="415"/>
      <c r="G22" s="415"/>
      <c r="H22" s="415"/>
      <c r="I22" s="415"/>
      <c r="J22" s="415"/>
    </row>
    <row r="23" spans="2:10" s="202" customFormat="1" ht="19.2" customHeight="1">
      <c r="B23" s="418"/>
      <c r="C23" s="416"/>
      <c r="D23" s="417" t="s">
        <v>677</v>
      </c>
      <c r="E23" s="415"/>
      <c r="F23" s="415"/>
      <c r="G23" s="415"/>
      <c r="H23" s="415"/>
      <c r="I23" s="415"/>
      <c r="J23" s="415"/>
    </row>
    <row r="24" spans="2:10" s="202" customFormat="1" ht="19.2" customHeight="1">
      <c r="B24" s="418"/>
      <c r="C24" s="416" t="s">
        <v>46</v>
      </c>
      <c r="D24" s="416" t="s">
        <v>233</v>
      </c>
      <c r="E24" s="418"/>
      <c r="F24" s="418"/>
      <c r="G24" s="418"/>
      <c r="H24" s="418"/>
      <c r="I24" s="415"/>
      <c r="J24" s="415"/>
    </row>
    <row r="25" spans="2:10" s="202" customFormat="1" ht="19.2" customHeight="1">
      <c r="B25" s="415"/>
      <c r="C25" s="416" t="s">
        <v>47</v>
      </c>
      <c r="D25" s="416" t="s">
        <v>126</v>
      </c>
      <c r="E25" s="418"/>
      <c r="F25" s="418"/>
      <c r="G25" s="418"/>
      <c r="H25" s="418"/>
      <c r="I25" s="415"/>
      <c r="J25" s="415"/>
    </row>
    <row r="26" spans="2:10" ht="14.4">
      <c r="B26" s="413"/>
      <c r="C26" s="413"/>
      <c r="D26" s="413"/>
      <c r="E26" s="413"/>
      <c r="F26" s="413"/>
      <c r="G26" s="413"/>
      <c r="H26" s="413"/>
      <c r="I26" s="413"/>
      <c r="J26" s="413"/>
    </row>
    <row r="27" spans="2:10" ht="14.4">
      <c r="B27" s="413"/>
      <c r="C27" s="413"/>
      <c r="D27" s="413"/>
      <c r="E27" s="413"/>
      <c r="F27" s="413"/>
      <c r="G27" s="413"/>
      <c r="H27" s="413"/>
      <c r="I27" s="413"/>
      <c r="J27" s="413"/>
    </row>
    <row r="28" spans="2:10" ht="14.4">
      <c r="B28" s="413"/>
      <c r="C28" s="413"/>
      <c r="D28" s="413"/>
      <c r="E28" s="413"/>
      <c r="F28" s="413"/>
      <c r="G28" s="413"/>
      <c r="H28" s="413"/>
      <c r="I28" s="413"/>
      <c r="J28" s="413"/>
    </row>
    <row r="29" spans="2:10" ht="14.4">
      <c r="B29" s="413"/>
      <c r="C29" s="413"/>
      <c r="D29" s="413"/>
      <c r="E29" s="413"/>
      <c r="F29" s="413"/>
      <c r="G29" s="413"/>
      <c r="H29" s="413"/>
      <c r="I29" s="413"/>
      <c r="J29" s="413"/>
    </row>
    <row r="30" spans="2:10" ht="14.4">
      <c r="B30" s="413"/>
      <c r="C30" s="413"/>
      <c r="D30" s="413"/>
      <c r="E30" s="413"/>
      <c r="F30" s="413"/>
      <c r="G30" s="413"/>
      <c r="H30" s="413"/>
      <c r="I30" s="413"/>
      <c r="J30" s="413"/>
    </row>
    <row r="31" spans="2:10" ht="14.4">
      <c r="B31" s="413"/>
      <c r="C31" s="413"/>
      <c r="D31" s="413"/>
      <c r="E31" s="413"/>
      <c r="F31" s="413"/>
      <c r="G31" s="413"/>
      <c r="H31" s="413"/>
      <c r="I31" s="413"/>
      <c r="J31" s="413"/>
    </row>
    <row r="32" spans="2:10" ht="14.4">
      <c r="B32" s="413"/>
      <c r="C32" s="413"/>
      <c r="D32" s="413"/>
      <c r="E32" s="413"/>
      <c r="F32" s="413"/>
      <c r="G32" s="413"/>
      <c r="H32" s="413"/>
      <c r="I32" s="413"/>
      <c r="J32" s="413"/>
    </row>
  </sheetData>
  <sheetProtection formatCells="0" formatColumns="0" formatRows="0" insertColumns="0" insertRows="0" insertHyperlinks="0" deleteColumns="0" deleteRows="0" sort="0" autoFilter="0" pivotTables="0"/>
  <mergeCells count="1">
    <mergeCell ref="B5:J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zoomScale="75" zoomScaleNormal="75" workbookViewId="0">
      <selection activeCell="H21" sqref="H21"/>
    </sheetView>
  </sheetViews>
  <sheetFormatPr defaultRowHeight="22.05" customHeight="1"/>
  <cols>
    <col min="1" max="1" width="5.21875" customWidth="1"/>
    <col min="2" max="2" width="51.33203125" customWidth="1"/>
    <col min="3" max="3" width="10.6640625" customWidth="1"/>
    <col min="4" max="4" width="13.77734375" customWidth="1"/>
    <col min="5" max="5" width="11.6640625" customWidth="1"/>
    <col min="6" max="6" width="6.88671875" customWidth="1"/>
  </cols>
  <sheetData>
    <row r="1" spans="1:5" ht="33" customHeight="1">
      <c r="A1" s="407" t="s">
        <v>626</v>
      </c>
      <c r="B1" s="260"/>
      <c r="C1" s="260"/>
      <c r="D1" s="260"/>
    </row>
    <row r="2" spans="1:5" ht="34.950000000000003" customHeight="1">
      <c r="B2" s="421" t="s">
        <v>509</v>
      </c>
      <c r="C2" s="261"/>
      <c r="D2" s="262" t="s">
        <v>222</v>
      </c>
      <c r="E2" s="262" t="s">
        <v>223</v>
      </c>
    </row>
    <row r="3" spans="1:5" ht="19.5" customHeight="1">
      <c r="B3" s="450" t="s">
        <v>80</v>
      </c>
      <c r="C3" s="452" t="s">
        <v>161</v>
      </c>
      <c r="D3" s="59" t="s">
        <v>183</v>
      </c>
      <c r="E3" s="59" t="s">
        <v>183</v>
      </c>
    </row>
    <row r="4" spans="1:5" ht="19.5" customHeight="1">
      <c r="B4" s="451"/>
      <c r="C4" s="453"/>
      <c r="D4" s="61">
        <f>D5+D8+D25+D15+D30</f>
        <v>1</v>
      </c>
      <c r="E4" s="61">
        <f>E5+E8+E25+E15+E30</f>
        <v>1.0000000000000002</v>
      </c>
    </row>
    <row r="5" spans="1:5" ht="19.5" customHeight="1">
      <c r="B5" s="63" t="s">
        <v>79</v>
      </c>
      <c r="C5" s="63"/>
      <c r="D5" s="64">
        <f>SUM(D6:D7)</f>
        <v>0.15</v>
      </c>
      <c r="E5" s="64">
        <f>SUM(E6:E7)</f>
        <v>0</v>
      </c>
    </row>
    <row r="6" spans="1:5" ht="19.5" customHeight="1">
      <c r="B6" s="351" t="s">
        <v>135</v>
      </c>
      <c r="C6" s="259" t="s">
        <v>277</v>
      </c>
      <c r="D6" s="14">
        <v>0.12</v>
      </c>
      <c r="E6" s="14">
        <v>0</v>
      </c>
    </row>
    <row r="7" spans="1:5" ht="19.5" customHeight="1">
      <c r="B7" s="351" t="s">
        <v>652</v>
      </c>
      <c r="C7" s="293" t="s">
        <v>278</v>
      </c>
      <c r="D7" s="14">
        <v>0.03</v>
      </c>
      <c r="E7" s="14">
        <v>0</v>
      </c>
    </row>
    <row r="8" spans="1:5" ht="19.5" customHeight="1">
      <c r="B8" s="63" t="s">
        <v>103</v>
      </c>
      <c r="C8" s="63"/>
      <c r="D8" s="64">
        <f>SUM(D9:D14)</f>
        <v>0.25</v>
      </c>
      <c r="E8" s="64">
        <f>SUM(E9:E14)</f>
        <v>0.30000000000000004</v>
      </c>
    </row>
    <row r="9" spans="1:5" ht="19.5" customHeight="1">
      <c r="B9" s="351" t="s">
        <v>250</v>
      </c>
      <c r="C9" s="259" t="s">
        <v>687</v>
      </c>
      <c r="D9" s="14">
        <v>0.05</v>
      </c>
      <c r="E9" s="263">
        <v>0.15</v>
      </c>
    </row>
    <row r="10" spans="1:5" ht="19.5" customHeight="1">
      <c r="B10" s="351" t="s">
        <v>234</v>
      </c>
      <c r="C10" s="293" t="s">
        <v>279</v>
      </c>
      <c r="D10" s="14">
        <v>0.03</v>
      </c>
      <c r="E10" s="263">
        <v>0</v>
      </c>
    </row>
    <row r="11" spans="1:5" ht="19.5" customHeight="1">
      <c r="B11" s="351" t="s">
        <v>371</v>
      </c>
      <c r="C11" s="419" t="s">
        <v>280</v>
      </c>
      <c r="D11" s="14">
        <v>0.03</v>
      </c>
      <c r="E11" s="263">
        <v>0.05</v>
      </c>
    </row>
    <row r="12" spans="1:5" ht="19.5" customHeight="1">
      <c r="B12" s="351" t="s">
        <v>105</v>
      </c>
      <c r="C12" s="419" t="s">
        <v>281</v>
      </c>
      <c r="D12" s="14">
        <v>0.02</v>
      </c>
      <c r="E12" s="263">
        <v>0</v>
      </c>
    </row>
    <row r="13" spans="1:5" ht="19.5" customHeight="1">
      <c r="B13" s="351" t="s">
        <v>663</v>
      </c>
      <c r="C13" s="419" t="s">
        <v>282</v>
      </c>
      <c r="D13" s="14">
        <v>0.1</v>
      </c>
      <c r="E13" s="263">
        <v>0.1</v>
      </c>
    </row>
    <row r="14" spans="1:5" ht="19.5" customHeight="1">
      <c r="B14" s="351" t="s">
        <v>463</v>
      </c>
      <c r="C14" s="419" t="s">
        <v>283</v>
      </c>
      <c r="D14" s="14">
        <v>0.02</v>
      </c>
      <c r="E14" s="263">
        <v>0</v>
      </c>
    </row>
    <row r="15" spans="1:5" ht="19.5" customHeight="1">
      <c r="B15" s="63" t="s">
        <v>525</v>
      </c>
      <c r="C15" s="63"/>
      <c r="D15" s="64">
        <f>SUM(D16:D24)</f>
        <v>0.4</v>
      </c>
      <c r="E15" s="64">
        <f>SUM(E16:E24)</f>
        <v>0.50000000000000011</v>
      </c>
    </row>
    <row r="16" spans="1:5" ht="19.5" customHeight="1">
      <c r="B16" s="351" t="s">
        <v>659</v>
      </c>
      <c r="C16" s="259" t="s">
        <v>284</v>
      </c>
      <c r="D16" s="14">
        <v>0.08</v>
      </c>
      <c r="E16" s="14">
        <v>0.08</v>
      </c>
    </row>
    <row r="17" spans="2:5" ht="19.5" customHeight="1">
      <c r="B17" s="351" t="s">
        <v>660</v>
      </c>
      <c r="C17" s="293" t="s">
        <v>285</v>
      </c>
      <c r="D17" s="14">
        <v>7.0000000000000007E-2</v>
      </c>
      <c r="E17" s="14">
        <v>7.0000000000000007E-2</v>
      </c>
    </row>
    <row r="18" spans="2:5" ht="19.5" customHeight="1">
      <c r="B18" s="351" t="s">
        <v>251</v>
      </c>
      <c r="C18" s="419" t="s">
        <v>286</v>
      </c>
      <c r="D18" s="14">
        <v>0.1</v>
      </c>
      <c r="E18" s="263">
        <v>0.2</v>
      </c>
    </row>
    <row r="19" spans="2:5" ht="19.5" customHeight="1">
      <c r="B19" s="351" t="s">
        <v>658</v>
      </c>
      <c r="C19" s="419" t="s">
        <v>287</v>
      </c>
      <c r="D19" s="14">
        <v>0.05</v>
      </c>
      <c r="E19" s="14">
        <v>0.05</v>
      </c>
    </row>
    <row r="20" spans="2:5" ht="19.5" customHeight="1">
      <c r="B20" s="351" t="s">
        <v>253</v>
      </c>
      <c r="C20" s="419" t="s">
        <v>288</v>
      </c>
      <c r="D20" s="14">
        <v>0.02</v>
      </c>
      <c r="E20" s="14">
        <v>0.02</v>
      </c>
    </row>
    <row r="21" spans="2:5" ht="19.5" customHeight="1">
      <c r="B21" s="351" t="s">
        <v>255</v>
      </c>
      <c r="C21" s="419" t="s">
        <v>289</v>
      </c>
      <c r="D21" s="14">
        <v>0.02</v>
      </c>
      <c r="E21" s="14">
        <v>0.02</v>
      </c>
    </row>
    <row r="22" spans="2:5" ht="19.5" customHeight="1">
      <c r="B22" s="351" t="s">
        <v>262</v>
      </c>
      <c r="C22" s="419" t="s">
        <v>290</v>
      </c>
      <c r="D22" s="14">
        <v>0.03</v>
      </c>
      <c r="E22" s="14">
        <v>0.03</v>
      </c>
    </row>
    <row r="23" spans="2:5" ht="19.5" customHeight="1">
      <c r="B23" s="351" t="s">
        <v>263</v>
      </c>
      <c r="C23" s="419" t="s">
        <v>291</v>
      </c>
      <c r="D23" s="14">
        <v>0.01</v>
      </c>
      <c r="E23" s="14">
        <v>0.01</v>
      </c>
    </row>
    <row r="24" spans="2:5" ht="19.5" customHeight="1">
      <c r="B24" s="351" t="s">
        <v>492</v>
      </c>
      <c r="C24" s="419" t="s">
        <v>292</v>
      </c>
      <c r="D24" s="14">
        <v>0.02</v>
      </c>
      <c r="E24" s="14">
        <v>0.02</v>
      </c>
    </row>
    <row r="25" spans="2:5" ht="19.5" customHeight="1">
      <c r="B25" s="63" t="s">
        <v>92</v>
      </c>
      <c r="C25" s="63"/>
      <c r="D25" s="64">
        <f>SUM(D26:D29)</f>
        <v>0.1</v>
      </c>
      <c r="E25" s="64">
        <f>SUM(E26:E29)</f>
        <v>0.1</v>
      </c>
    </row>
    <row r="26" spans="2:5" ht="19.5" customHeight="1">
      <c r="B26" s="351" t="s">
        <v>93</v>
      </c>
      <c r="C26" s="259" t="s">
        <v>293</v>
      </c>
      <c r="D26" s="14">
        <v>0.05</v>
      </c>
      <c r="E26" s="14">
        <v>0.05</v>
      </c>
    </row>
    <row r="27" spans="2:5" ht="19.5" customHeight="1">
      <c r="B27" s="351" t="s">
        <v>136</v>
      </c>
      <c r="C27" s="293" t="s">
        <v>295</v>
      </c>
      <c r="D27" s="14">
        <v>0.02</v>
      </c>
      <c r="E27" s="14">
        <v>0.02</v>
      </c>
    </row>
    <row r="28" spans="2:5" ht="19.5" customHeight="1">
      <c r="B28" s="351" t="s">
        <v>261</v>
      </c>
      <c r="C28" s="419" t="s">
        <v>296</v>
      </c>
      <c r="D28" s="14">
        <v>0.02</v>
      </c>
      <c r="E28" s="14">
        <v>0.02</v>
      </c>
    </row>
    <row r="29" spans="2:5" ht="19.5" customHeight="1">
      <c r="B29" s="351" t="s">
        <v>236</v>
      </c>
      <c r="C29" s="419" t="s">
        <v>297</v>
      </c>
      <c r="D29" s="14">
        <v>0.01</v>
      </c>
      <c r="E29" s="14">
        <v>0.01</v>
      </c>
    </row>
    <row r="30" spans="2:5" ht="19.5" customHeight="1">
      <c r="B30" s="63" t="s">
        <v>133</v>
      </c>
      <c r="C30" s="63"/>
      <c r="D30" s="64">
        <f>SUM(D31:D35)</f>
        <v>0.1</v>
      </c>
      <c r="E30" s="64">
        <f>SUM(E31:E35)</f>
        <v>0.1</v>
      </c>
    </row>
    <row r="31" spans="2:5" ht="19.5" customHeight="1">
      <c r="B31" s="351" t="s">
        <v>179</v>
      </c>
      <c r="C31" s="259" t="s">
        <v>298</v>
      </c>
      <c r="D31" s="14">
        <v>0.03</v>
      </c>
      <c r="E31" s="14">
        <v>0.03</v>
      </c>
    </row>
    <row r="32" spans="2:5" ht="19.5" customHeight="1">
      <c r="B32" s="351" t="s">
        <v>258</v>
      </c>
      <c r="C32" s="419" t="s">
        <v>294</v>
      </c>
      <c r="D32" s="14">
        <v>0.02</v>
      </c>
      <c r="E32" s="14">
        <v>0.02</v>
      </c>
    </row>
    <row r="33" spans="2:5" ht="19.5" customHeight="1">
      <c r="B33" s="351" t="s">
        <v>368</v>
      </c>
      <c r="C33" s="419" t="s">
        <v>299</v>
      </c>
      <c r="D33" s="14">
        <v>0.02</v>
      </c>
      <c r="E33" s="14">
        <v>0.02</v>
      </c>
    </row>
    <row r="34" spans="2:5" ht="19.5" customHeight="1">
      <c r="B34" s="351" t="s">
        <v>259</v>
      </c>
      <c r="C34" s="419" t="s">
        <v>300</v>
      </c>
      <c r="D34" s="14">
        <v>0.02</v>
      </c>
      <c r="E34" s="14">
        <v>0.02</v>
      </c>
    </row>
    <row r="35" spans="2:5" ht="19.5" customHeight="1">
      <c r="B35" s="351" t="s">
        <v>260</v>
      </c>
      <c r="C35" s="419" t="s">
        <v>301</v>
      </c>
      <c r="D35" s="14">
        <v>0.01</v>
      </c>
      <c r="E35" s="14">
        <v>0.01</v>
      </c>
    </row>
  </sheetData>
  <sheetProtection sheet="1" objects="1" scenarios="1"/>
  <protectedRanges>
    <protectedRange algorithmName="SHA-512" hashValue="hlVGgzE2CY0B4bZ/ImP9VgpTPz+mv24t2cB2EO4jKcWomyEKefrGHjeYa0QWh1EApu9J2GhpWwDYtM5PH9up8A==" saltValue="WPKgt1cpnDYCF4LP9xo6ug==" spinCount="100000" sqref="B31:C31 B32:B33 C32:C35" name="Range1_6_1_1_1_1"/>
  </protectedRanges>
  <mergeCells count="2">
    <mergeCell ref="B3:B4"/>
    <mergeCell ref="C3:C4"/>
  </mergeCells>
  <pageMargins left="0.7" right="0.7" top="0.75" bottom="0.75" header="0.3" footer="0.3"/>
  <pageSetup orientation="portrait" r:id="rId1"/>
  <ignoredErrors>
    <ignoredError sqref="E5 E8 E15 E2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5"/>
  <sheetViews>
    <sheetView zoomScale="72" zoomScaleNormal="72" workbookViewId="0">
      <selection activeCell="AF26" sqref="AF26"/>
    </sheetView>
  </sheetViews>
  <sheetFormatPr defaultColWidth="8.77734375" defaultRowHeight="14.4"/>
  <cols>
    <col min="1" max="1" width="7.77734375" style="1" customWidth="1"/>
    <col min="2" max="2" width="5.77734375" style="1" customWidth="1"/>
    <col min="3" max="4" width="8.77734375" style="1"/>
    <col min="5" max="5" width="5.88671875" style="1" customWidth="1"/>
    <col min="6" max="6" width="3.77734375" style="1" customWidth="1"/>
    <col min="7" max="7" width="5.88671875" style="1" customWidth="1"/>
    <col min="8" max="8" width="7.6640625" style="1" customWidth="1"/>
    <col min="9" max="10" width="8.77734375" style="1"/>
    <col min="11" max="11" width="8.77734375" style="1" customWidth="1"/>
    <col min="12" max="12" width="6.109375" style="1" customWidth="1"/>
    <col min="13" max="21" width="5.33203125" style="1" customWidth="1"/>
    <col min="22" max="22" width="7.77734375" style="1" customWidth="1"/>
    <col min="23" max="23" width="42.109375" style="1" customWidth="1"/>
    <col min="24" max="24" width="9.21875" style="1" customWidth="1"/>
    <col min="25" max="26" width="3.109375" style="1" customWidth="1"/>
    <col min="27" max="16384" width="8.77734375" style="1"/>
  </cols>
  <sheetData>
    <row r="1" spans="1:24" ht="31.5" customHeight="1">
      <c r="A1" s="407" t="s">
        <v>627</v>
      </c>
      <c r="V1" s="99" t="s">
        <v>125</v>
      </c>
    </row>
    <row r="2" spans="1:24" ht="19.95" customHeight="1"/>
    <row r="15" spans="1:24" ht="19.05" customHeight="1">
      <c r="V15" s="190" t="s">
        <v>124</v>
      </c>
    </row>
    <row r="16" spans="1:24" ht="19.05" customHeight="1">
      <c r="V16" s="243" t="s">
        <v>111</v>
      </c>
      <c r="W16" s="244"/>
      <c r="X16" s="245">
        <f>SUM(X17:X21)</f>
        <v>1</v>
      </c>
    </row>
    <row r="17" spans="22:24" ht="19.05" customHeight="1">
      <c r="V17" s="246" t="s">
        <v>113</v>
      </c>
      <c r="W17" s="247" t="str">
        <f>'02. Models'!B5</f>
        <v>Roles &amp; Responsibilities</v>
      </c>
      <c r="X17" s="248">
        <f>'02. Models'!D5</f>
        <v>0.15</v>
      </c>
    </row>
    <row r="18" spans="22:24" ht="19.05" customHeight="1">
      <c r="V18" s="246" t="s">
        <v>114</v>
      </c>
      <c r="W18" s="247" t="str">
        <f>'02. Models'!B8</f>
        <v>Experiences &amp; Contributions</v>
      </c>
      <c r="X18" s="248">
        <f>'02. Models'!D8</f>
        <v>0.25</v>
      </c>
    </row>
    <row r="19" spans="22:24" ht="19.05" customHeight="1">
      <c r="V19" s="246" t="s">
        <v>115</v>
      </c>
      <c r="W19" s="247" t="str">
        <f>'02. Models'!B15</f>
        <v>Professional Business Analysis Skills</v>
      </c>
      <c r="X19" s="248">
        <f>'02. Models'!D15</f>
        <v>0.4</v>
      </c>
    </row>
    <row r="20" spans="22:24" ht="19.05" customHeight="1">
      <c r="V20" s="246" t="s">
        <v>116</v>
      </c>
      <c r="W20" s="247" t="str">
        <f>'02. Models'!B25</f>
        <v>Foreign Language &amp; Certificates</v>
      </c>
      <c r="X20" s="248">
        <f>'02. Models'!D25</f>
        <v>0.1</v>
      </c>
    </row>
    <row r="21" spans="22:24" ht="19.05" customHeight="1">
      <c r="V21" s="246" t="s">
        <v>117</v>
      </c>
      <c r="W21" s="247" t="str">
        <f>'02. Models'!B30</f>
        <v>Non-Engineering and Softskills</v>
      </c>
      <c r="X21" s="248">
        <f>'02. Models'!D30</f>
        <v>0.1</v>
      </c>
    </row>
    <row r="24" spans="22:24" ht="19.5" customHeight="1">
      <c r="V24" s="190" t="s">
        <v>541</v>
      </c>
    </row>
    <row r="25" spans="22:24" ht="19.5" customHeight="1">
      <c r="V25" s="243" t="s">
        <v>111</v>
      </c>
      <c r="W25" s="244"/>
      <c r="X25" s="245">
        <f>SUM(X26:X29)</f>
        <v>1.0000000000000002</v>
      </c>
    </row>
    <row r="26" spans="22:24" ht="19.5" customHeight="1">
      <c r="V26" s="246" t="s">
        <v>113</v>
      </c>
      <c r="W26" s="247" t="str">
        <f>'02. Models'!B13</f>
        <v>Industry Experiences (IT and Non-IT fields)</v>
      </c>
      <c r="X26" s="248">
        <f>'02. Models'!E8</f>
        <v>0.30000000000000004</v>
      </c>
    </row>
    <row r="27" spans="22:24" ht="19.5" customHeight="1">
      <c r="V27" s="246" t="s">
        <v>114</v>
      </c>
      <c r="W27" s="247" t="str">
        <f>'02. Models'!B17</f>
        <v>Requirement Elicitation &amp; Collaboration (*)</v>
      </c>
      <c r="X27" s="248">
        <f>'02. Models'!E15</f>
        <v>0.50000000000000011</v>
      </c>
    </row>
    <row r="28" spans="22:24" ht="19.5" customHeight="1">
      <c r="V28" s="246" t="s">
        <v>115</v>
      </c>
      <c r="W28" s="247" t="str">
        <f>'02. Models'!B24</f>
        <v>Business Analysis Tools</v>
      </c>
      <c r="X28" s="248">
        <f>'02. Models'!E25</f>
        <v>0.1</v>
      </c>
    </row>
    <row r="29" spans="22:24" ht="19.5" customHeight="1">
      <c r="V29" s="246" t="s">
        <v>116</v>
      </c>
      <c r="W29" s="247" t="str">
        <f>'02. Models'!B34</f>
        <v>Project Risk Management</v>
      </c>
      <c r="X29" s="248">
        <f>'02. Models'!E30</f>
        <v>0.1</v>
      </c>
    </row>
    <row r="30" spans="22:24" ht="19.5" customHeight="1"/>
    <row r="31" spans="22:24" ht="19.5" customHeight="1"/>
    <row r="32" spans="22:24"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sheetData>
  <sheetProtection sheet="1" objects="1" scenarios="1" formatCells="0" formatColumns="0" formatRows="0" insertColumns="0" insertRows="0" insertHyperlinks="0" deleteColumns="0" deleteRows="0" sort="0" autoFilter="0" pivotTables="0"/>
  <pageMargins left="0.7" right="0.7" top="0.75" bottom="0.75" header="0.3" footer="0.3"/>
  <pageSetup scale="5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R35"/>
  <sheetViews>
    <sheetView zoomScale="83" zoomScaleNormal="83" workbookViewId="0">
      <pane xSplit="3" ySplit="4" topLeftCell="E8" activePane="bottomRight" state="frozen"/>
      <selection pane="topRight" activeCell="D1" sqref="D1"/>
      <selection pane="bottomLeft" activeCell="A5" sqref="A5"/>
      <selection pane="bottomRight" activeCell="D3" sqref="D3:D4"/>
    </sheetView>
  </sheetViews>
  <sheetFormatPr defaultColWidth="9.21875" defaultRowHeight="20.55" customHeight="1"/>
  <cols>
    <col min="1" max="1" width="2" style="70" customWidth="1"/>
    <col min="2" max="2" width="35.33203125" style="41" customWidth="1"/>
    <col min="3" max="3" width="9.21875" style="36" customWidth="1"/>
    <col min="4" max="4" width="114.77734375" style="36" customWidth="1"/>
    <col min="5" max="10" width="27.21875" style="33" customWidth="1"/>
    <col min="11" max="11" width="3.44140625" style="36" hidden="1" customWidth="1"/>
    <col min="12" max="12" width="5" style="33" customWidth="1"/>
    <col min="13" max="16" width="13.77734375" style="33" customWidth="1"/>
    <col min="17" max="18" width="21.77734375" style="33" customWidth="1"/>
    <col min="19" max="19" width="1.21875" style="33" customWidth="1"/>
    <col min="20" max="16384" width="9.21875" style="33"/>
  </cols>
  <sheetData>
    <row r="1" spans="1:18" ht="23.55" customHeight="1">
      <c r="A1" s="407" t="s">
        <v>628</v>
      </c>
      <c r="C1" s="402"/>
      <c r="D1" s="454" t="s">
        <v>508</v>
      </c>
      <c r="M1" s="34" t="s">
        <v>32</v>
      </c>
    </row>
    <row r="2" spans="1:18" ht="47.4" customHeight="1">
      <c r="B2" s="458" t="s">
        <v>688</v>
      </c>
      <c r="C2" s="458"/>
      <c r="D2" s="455"/>
      <c r="M2" s="6" t="str">
        <f t="shared" ref="M2:R3" si="0">E3</f>
        <v>Associate Business Analyst</v>
      </c>
      <c r="N2" s="6" t="str">
        <f t="shared" si="0"/>
        <v>Business Analyst</v>
      </c>
      <c r="O2" s="6" t="str">
        <f t="shared" si="0"/>
        <v>Senior Business Analyst</v>
      </c>
      <c r="P2" s="6" t="str">
        <f t="shared" si="0"/>
        <v>Business Analysis Leader</v>
      </c>
      <c r="Q2" s="6" t="str">
        <f t="shared" si="0"/>
        <v>Senior Business Analysis Consultant / Leader</v>
      </c>
      <c r="R2" s="6" t="str">
        <f t="shared" si="0"/>
        <v>Principal Business Analysis Consultant / Leader</v>
      </c>
    </row>
    <row r="3" spans="1:18" ht="25.95" customHeight="1">
      <c r="B3" s="450" t="s">
        <v>80</v>
      </c>
      <c r="C3" s="59" t="s">
        <v>183</v>
      </c>
      <c r="D3" s="456" t="s">
        <v>190</v>
      </c>
      <c r="E3" s="60" t="str">
        <f>'08. Definitions'!$D14</f>
        <v>Associate Business Analyst</v>
      </c>
      <c r="F3" s="60" t="str">
        <f>'08. Definitions'!$D15</f>
        <v>Business Analyst</v>
      </c>
      <c r="G3" s="60" t="str">
        <f>'08. Definitions'!$D16</f>
        <v>Senior Business Analyst</v>
      </c>
      <c r="H3" s="60" t="str">
        <f>'08. Definitions'!$D17</f>
        <v>Business Analysis Leader</v>
      </c>
      <c r="I3" s="60" t="str">
        <f>'08. Definitions'!$D19</f>
        <v>Senior Business Analysis Consultant / Leader</v>
      </c>
      <c r="J3" s="60" t="str">
        <f>'08. Definitions'!$D20</f>
        <v>Principal Business Analysis Consultant / Leader</v>
      </c>
      <c r="M3" s="133" t="str">
        <f>E4</f>
        <v>BANE01</v>
      </c>
      <c r="N3" s="133" t="str">
        <f t="shared" si="0"/>
        <v>BANE02</v>
      </c>
      <c r="O3" s="133" t="str">
        <f t="shared" si="0"/>
        <v>BANE03</v>
      </c>
      <c r="P3" s="133" t="str">
        <f t="shared" si="0"/>
        <v>BANE04</v>
      </c>
      <c r="Q3" s="133" t="str">
        <f t="shared" si="0"/>
        <v>BANE05</v>
      </c>
      <c r="R3" s="133" t="str">
        <f t="shared" si="0"/>
        <v>BANE06</v>
      </c>
    </row>
    <row r="4" spans="1:18" ht="20.55" customHeight="1">
      <c r="B4" s="451"/>
      <c r="C4" s="61">
        <f>C5+C8+C25+C15+C30</f>
        <v>1</v>
      </c>
      <c r="D4" s="457"/>
      <c r="E4" s="219" t="str">
        <f>'08. Definitions'!C14</f>
        <v>BANE01</v>
      </c>
      <c r="F4" s="219" t="str">
        <f>'08. Definitions'!C15</f>
        <v>BANE02</v>
      </c>
      <c r="G4" s="219" t="str">
        <f>'08. Definitions'!C16</f>
        <v>BANE03</v>
      </c>
      <c r="H4" s="219" t="str">
        <f>'08. Definitions'!C17</f>
        <v>BANE04</v>
      </c>
      <c r="I4" s="219" t="str">
        <f>'08. Definitions'!C19</f>
        <v>BANE05</v>
      </c>
      <c r="J4" s="219" t="str">
        <f>'08. Definitions'!C20</f>
        <v>BANE06</v>
      </c>
      <c r="M4" s="385">
        <f t="shared" ref="M4:R4" si="1" xml:space="preserve"> M5+M8+M15+M25+M30</f>
        <v>25.733333333333331</v>
      </c>
      <c r="N4" s="385">
        <f t="shared" si="1"/>
        <v>34.233333333333334</v>
      </c>
      <c r="O4" s="385">
        <f t="shared" si="1"/>
        <v>49.916666666666664</v>
      </c>
      <c r="P4" s="385">
        <f t="shared" si="1"/>
        <v>67.816666666666663</v>
      </c>
      <c r="Q4" s="385">
        <f t="shared" si="1"/>
        <v>81</v>
      </c>
      <c r="R4" s="385">
        <f t="shared" si="1"/>
        <v>100</v>
      </c>
    </row>
    <row r="5" spans="1:18" ht="27" customHeight="1">
      <c r="B5" s="63" t="str">
        <f>'02. Models'!B5</f>
        <v>Roles &amp; Responsibilities</v>
      </c>
      <c r="C5" s="64">
        <f>SUM(C6:C7)</f>
        <v>0.15</v>
      </c>
      <c r="D5" s="63" t="s">
        <v>522</v>
      </c>
      <c r="E5" s="188" t="s">
        <v>216</v>
      </c>
      <c r="F5" s="188" t="s">
        <v>217</v>
      </c>
      <c r="G5" s="188" t="s">
        <v>218</v>
      </c>
      <c r="H5" s="188" t="s">
        <v>219</v>
      </c>
      <c r="I5" s="188" t="s">
        <v>334</v>
      </c>
      <c r="J5" s="188" t="s">
        <v>335</v>
      </c>
      <c r="M5" s="386">
        <f t="shared" ref="M5:R5" si="2">SUM(M6:M7)</f>
        <v>2.4</v>
      </c>
      <c r="N5" s="386">
        <f t="shared" si="2"/>
        <v>4.8</v>
      </c>
      <c r="O5" s="386">
        <f t="shared" si="2"/>
        <v>7.1999999999999993</v>
      </c>
      <c r="P5" s="386">
        <f t="shared" si="2"/>
        <v>10.35</v>
      </c>
      <c r="Q5" s="386">
        <f t="shared" si="2"/>
        <v>11.85</v>
      </c>
      <c r="R5" s="386">
        <f t="shared" si="2"/>
        <v>15</v>
      </c>
    </row>
    <row r="6" spans="1:18" ht="316.2" customHeight="1">
      <c r="B6" s="40" t="str">
        <f>'02. Models'!B6</f>
        <v>Roles and Responsibilities</v>
      </c>
      <c r="C6" s="14">
        <f>'02. Models'!D6</f>
        <v>0.12</v>
      </c>
      <c r="D6" s="163" t="s">
        <v>644</v>
      </c>
      <c r="E6" s="254" t="s">
        <v>649</v>
      </c>
      <c r="F6" s="254" t="s">
        <v>650</v>
      </c>
      <c r="G6" s="254" t="s">
        <v>651</v>
      </c>
      <c r="H6" s="254" t="s">
        <v>642</v>
      </c>
      <c r="I6" s="254" t="s">
        <v>642</v>
      </c>
      <c r="J6" s="254" t="s">
        <v>657</v>
      </c>
      <c r="K6" s="36">
        <f>MAX(LEFT(E6,1),LEFT(F6,1), LEFT(G6,1), LEFT(H6,1), LEFT(I6,1), LEFT(J6,1))</f>
        <v>5</v>
      </c>
      <c r="M6" s="387">
        <f t="shared" ref="M6:R6" si="3">(LEFT(E6,1)*$C6/$K$6)*100</f>
        <v>2.4</v>
      </c>
      <c r="N6" s="387">
        <f t="shared" si="3"/>
        <v>4.8</v>
      </c>
      <c r="O6" s="387">
        <f t="shared" si="3"/>
        <v>7.1999999999999993</v>
      </c>
      <c r="P6" s="387">
        <f t="shared" si="3"/>
        <v>9.6</v>
      </c>
      <c r="Q6" s="387">
        <f t="shared" si="3"/>
        <v>9.6</v>
      </c>
      <c r="R6" s="387">
        <f t="shared" si="3"/>
        <v>12</v>
      </c>
    </row>
    <row r="7" spans="1:18" ht="72.599999999999994" customHeight="1">
      <c r="B7" s="293" t="str">
        <f>'02. Models'!B7</f>
        <v>Team Size To Lead for BA Leader</v>
      </c>
      <c r="C7" s="14">
        <f>'02. Models'!D7</f>
        <v>0.03</v>
      </c>
      <c r="D7" s="163" t="s">
        <v>312</v>
      </c>
      <c r="E7" s="254" t="s">
        <v>330</v>
      </c>
      <c r="F7" s="254" t="s">
        <v>330</v>
      </c>
      <c r="G7" s="254" t="s">
        <v>330</v>
      </c>
      <c r="H7" s="254" t="s">
        <v>331</v>
      </c>
      <c r="I7" s="254" t="s">
        <v>332</v>
      </c>
      <c r="J7" s="254" t="s">
        <v>333</v>
      </c>
      <c r="K7" s="36">
        <f>MAX(LEFT(E7,1),LEFT(F7,1), LEFT(G7,1), LEFT(H7,1), LEFT(I7,1), LEFT(J7,1))</f>
        <v>4</v>
      </c>
      <c r="M7" s="387">
        <f t="shared" ref="M7:R7" si="4">(LEFT(E7,1)*$C7/$K$7)*100</f>
        <v>0</v>
      </c>
      <c r="N7" s="387">
        <f t="shared" si="4"/>
        <v>0</v>
      </c>
      <c r="O7" s="387">
        <f t="shared" si="4"/>
        <v>0</v>
      </c>
      <c r="P7" s="387">
        <f t="shared" si="4"/>
        <v>0.75</v>
      </c>
      <c r="Q7" s="387">
        <f t="shared" si="4"/>
        <v>2.25</v>
      </c>
      <c r="R7" s="387">
        <f t="shared" si="4"/>
        <v>3</v>
      </c>
    </row>
    <row r="8" spans="1:18" ht="27" customHeight="1">
      <c r="B8" s="63" t="str">
        <f>'02. Models'!B8</f>
        <v>Experiences &amp; Contributions</v>
      </c>
      <c r="C8" s="64">
        <f>SUM(C9:C14)</f>
        <v>0.25</v>
      </c>
      <c r="D8" s="63" t="s">
        <v>523</v>
      </c>
      <c r="E8" s="257"/>
      <c r="F8" s="257"/>
      <c r="G8" s="257"/>
      <c r="H8" s="257"/>
      <c r="I8" s="257"/>
      <c r="J8" s="257"/>
      <c r="M8" s="386">
        <f>SUM(M9:M14)</f>
        <v>0</v>
      </c>
      <c r="N8" s="386">
        <f t="shared" ref="N8" si="5">SUM(N9:N14)</f>
        <v>1.6</v>
      </c>
      <c r="O8" s="386">
        <f t="shared" ref="O8" si="6">SUM(O9:O14)</f>
        <v>7.45</v>
      </c>
      <c r="P8" s="386">
        <f t="shared" ref="P8" si="7">SUM(P9:P14)</f>
        <v>13.3</v>
      </c>
      <c r="Q8" s="386">
        <f t="shared" ref="Q8" si="8">SUM(Q9:Q14)</f>
        <v>19.150000000000002</v>
      </c>
      <c r="R8" s="386">
        <f t="shared" ref="R8" si="9">SUM(R9:R14)</f>
        <v>25</v>
      </c>
    </row>
    <row r="9" spans="1:18" ht="27" customHeight="1">
      <c r="B9" s="40" t="str">
        <f>'02. Models'!B9</f>
        <v>Business Analysis Experiences (*)</v>
      </c>
      <c r="C9" s="14">
        <f>'02. Models'!D9</f>
        <v>0.05</v>
      </c>
      <c r="D9" s="163" t="s">
        <v>653</v>
      </c>
      <c r="E9" s="255" t="s">
        <v>54</v>
      </c>
      <c r="F9" s="255" t="s">
        <v>60</v>
      </c>
      <c r="G9" s="255" t="s">
        <v>67</v>
      </c>
      <c r="H9" s="254" t="s">
        <v>68</v>
      </c>
      <c r="I9" s="255" t="s">
        <v>69</v>
      </c>
      <c r="J9" s="255" t="s">
        <v>70</v>
      </c>
      <c r="K9" s="36">
        <f>MAX(LEFT(E9,1),LEFT(F9,1), LEFT(G9,1), LEFT(H9,1), LEFT(I9,1), LEFT(J9,1))</f>
        <v>5</v>
      </c>
      <c r="M9" s="387">
        <f t="shared" ref="M9:R9" si="10">(LEFT(E9,1)*$C9/$K$9)*100</f>
        <v>0</v>
      </c>
      <c r="N9" s="387">
        <f t="shared" si="10"/>
        <v>1</v>
      </c>
      <c r="O9" s="387">
        <f t="shared" si="10"/>
        <v>2</v>
      </c>
      <c r="P9" s="387">
        <f t="shared" si="10"/>
        <v>3.0000000000000004</v>
      </c>
      <c r="Q9" s="387">
        <f t="shared" si="10"/>
        <v>4</v>
      </c>
      <c r="R9" s="387">
        <f t="shared" si="10"/>
        <v>5</v>
      </c>
    </row>
    <row r="10" spans="1:18" ht="27" customHeight="1">
      <c r="B10" s="259" t="str">
        <f>'02. Models'!B10</f>
        <v>Subordinate Development</v>
      </c>
      <c r="C10" s="14">
        <f>'02. Models'!D10</f>
        <v>0.03</v>
      </c>
      <c r="D10" s="163" t="s">
        <v>131</v>
      </c>
      <c r="E10" s="256" t="s">
        <v>173</v>
      </c>
      <c r="F10" s="256" t="s">
        <v>173</v>
      </c>
      <c r="G10" s="256" t="s">
        <v>363</v>
      </c>
      <c r="H10" s="256" t="s">
        <v>362</v>
      </c>
      <c r="I10" s="256" t="s">
        <v>361</v>
      </c>
      <c r="J10" s="408" t="s">
        <v>360</v>
      </c>
      <c r="K10" s="36">
        <f t="shared" ref="K10:K35" si="11">MAX(LEFT(E10,1),LEFT(F10,1), LEFT(G10,1), LEFT(H10,1), LEFT(I10,1), LEFT(J10,1))</f>
        <v>4</v>
      </c>
      <c r="M10" s="387">
        <f t="shared" ref="M10:R10" si="12">(LEFT(E10,1)*$C10/$K$10)*100</f>
        <v>0</v>
      </c>
      <c r="N10" s="387">
        <f t="shared" si="12"/>
        <v>0</v>
      </c>
      <c r="O10" s="387">
        <f t="shared" si="12"/>
        <v>0.75</v>
      </c>
      <c r="P10" s="387">
        <f t="shared" si="12"/>
        <v>1.5</v>
      </c>
      <c r="Q10" s="387">
        <f t="shared" si="12"/>
        <v>2.25</v>
      </c>
      <c r="R10" s="387">
        <f t="shared" si="12"/>
        <v>3</v>
      </c>
    </row>
    <row r="11" spans="1:18" ht="31.05" customHeight="1">
      <c r="B11" s="259" t="str">
        <f>'02. Models'!B11</f>
        <v>Number of Projects/Phases</v>
      </c>
      <c r="C11" s="14">
        <f>'02. Models'!D11</f>
        <v>0.03</v>
      </c>
      <c r="D11" s="163" t="s">
        <v>691</v>
      </c>
      <c r="E11" s="256" t="s">
        <v>173</v>
      </c>
      <c r="F11" s="256" t="s">
        <v>355</v>
      </c>
      <c r="G11" s="256" t="s">
        <v>356</v>
      </c>
      <c r="H11" s="256" t="s">
        <v>357</v>
      </c>
      <c r="I11" s="256" t="s">
        <v>358</v>
      </c>
      <c r="J11" s="256" t="s">
        <v>359</v>
      </c>
      <c r="K11" s="36">
        <f t="shared" si="11"/>
        <v>5</v>
      </c>
      <c r="M11" s="387">
        <f t="shared" ref="M11:R11" si="13">(LEFT(E11,1)*$C11/$K$11)*100</f>
        <v>0</v>
      </c>
      <c r="N11" s="387">
        <f t="shared" si="13"/>
        <v>0.6</v>
      </c>
      <c r="O11" s="387">
        <f t="shared" si="13"/>
        <v>1.2</v>
      </c>
      <c r="P11" s="387">
        <f t="shared" si="13"/>
        <v>1.7999999999999998</v>
      </c>
      <c r="Q11" s="387">
        <f t="shared" si="13"/>
        <v>2.4</v>
      </c>
      <c r="R11" s="387">
        <f t="shared" si="13"/>
        <v>3</v>
      </c>
    </row>
    <row r="12" spans="1:18" ht="24">
      <c r="B12" s="259" t="str">
        <f>'02. Models'!B12</f>
        <v>Community Contributions</v>
      </c>
      <c r="C12" s="14">
        <f>'02. Models'!D12</f>
        <v>0.02</v>
      </c>
      <c r="D12" s="163" t="s">
        <v>318</v>
      </c>
      <c r="E12" s="256" t="s">
        <v>173</v>
      </c>
      <c r="F12" s="256" t="s">
        <v>173</v>
      </c>
      <c r="G12" s="256" t="s">
        <v>127</v>
      </c>
      <c r="H12" s="256" t="s">
        <v>128</v>
      </c>
      <c r="I12" s="256" t="s">
        <v>129</v>
      </c>
      <c r="J12" s="256" t="s">
        <v>130</v>
      </c>
      <c r="K12" s="36">
        <f t="shared" si="11"/>
        <v>4</v>
      </c>
      <c r="M12" s="387">
        <f t="shared" ref="M12:R12" si="14">(LEFT(E12,1)*$C12/$K$12)*100</f>
        <v>0</v>
      </c>
      <c r="N12" s="387">
        <f t="shared" si="14"/>
        <v>0</v>
      </c>
      <c r="O12" s="387">
        <f t="shared" si="14"/>
        <v>0.5</v>
      </c>
      <c r="P12" s="387">
        <f t="shared" si="14"/>
        <v>1</v>
      </c>
      <c r="Q12" s="387">
        <f t="shared" si="14"/>
        <v>1.5</v>
      </c>
      <c r="R12" s="387">
        <f t="shared" si="14"/>
        <v>2</v>
      </c>
    </row>
    <row r="13" spans="1:18" ht="31.5" customHeight="1">
      <c r="B13" s="259" t="str">
        <f>'02. Models'!B13</f>
        <v>Industry Experiences (IT and Non-IT fields)</v>
      </c>
      <c r="C13" s="14">
        <f>'02. Models'!D13</f>
        <v>0.1</v>
      </c>
      <c r="D13" s="163" t="s">
        <v>182</v>
      </c>
      <c r="E13" s="255" t="s">
        <v>54</v>
      </c>
      <c r="F13" s="255" t="s">
        <v>54</v>
      </c>
      <c r="G13" s="255" t="s">
        <v>60</v>
      </c>
      <c r="H13" s="255" t="s">
        <v>67</v>
      </c>
      <c r="I13" s="255" t="s">
        <v>68</v>
      </c>
      <c r="J13" s="255" t="s">
        <v>69</v>
      </c>
      <c r="K13" s="36">
        <f t="shared" si="11"/>
        <v>4</v>
      </c>
      <c r="M13" s="387">
        <f t="shared" ref="M13:R13" si="15">(LEFT(E13,1)*$C13/$K$13)*100</f>
        <v>0</v>
      </c>
      <c r="N13" s="387">
        <f t="shared" si="15"/>
        <v>0</v>
      </c>
      <c r="O13" s="387">
        <f t="shared" si="15"/>
        <v>2.5</v>
      </c>
      <c r="P13" s="387">
        <f t="shared" si="15"/>
        <v>5</v>
      </c>
      <c r="Q13" s="387">
        <f t="shared" si="15"/>
        <v>7.5000000000000009</v>
      </c>
      <c r="R13" s="387">
        <f t="shared" si="15"/>
        <v>10</v>
      </c>
    </row>
    <row r="14" spans="1:18" ht="31.05" customHeight="1">
      <c r="B14" s="259" t="str">
        <f>'02. Models'!B14</f>
        <v>Consulting for Sales/Biding Teams</v>
      </c>
      <c r="C14" s="14">
        <f>'02. Models'!D14</f>
        <v>0.02</v>
      </c>
      <c r="D14" s="163" t="s">
        <v>319</v>
      </c>
      <c r="E14" s="255" t="s">
        <v>173</v>
      </c>
      <c r="F14" s="255" t="s">
        <v>173</v>
      </c>
      <c r="G14" s="255" t="s">
        <v>60</v>
      </c>
      <c r="H14" s="255" t="s">
        <v>67</v>
      </c>
      <c r="I14" s="255" t="s">
        <v>68</v>
      </c>
      <c r="J14" s="255" t="s">
        <v>69</v>
      </c>
      <c r="K14" s="36">
        <f t="shared" si="11"/>
        <v>4</v>
      </c>
      <c r="M14" s="387">
        <f t="shared" ref="M14:R14" si="16">(LEFT(E14,1)*$C14/$K$14)*100</f>
        <v>0</v>
      </c>
      <c r="N14" s="387">
        <f t="shared" si="16"/>
        <v>0</v>
      </c>
      <c r="O14" s="387">
        <f t="shared" si="16"/>
        <v>0.5</v>
      </c>
      <c r="P14" s="387">
        <f t="shared" si="16"/>
        <v>1</v>
      </c>
      <c r="Q14" s="387">
        <f t="shared" si="16"/>
        <v>1.5</v>
      </c>
      <c r="R14" s="387">
        <f t="shared" si="16"/>
        <v>2</v>
      </c>
    </row>
    <row r="15" spans="1:18" ht="27" customHeight="1">
      <c r="B15" s="63" t="str">
        <f>'02. Models'!B15</f>
        <v>Professional Business Analysis Skills</v>
      </c>
      <c r="C15" s="64">
        <f>SUM(C16:C24)</f>
        <v>0.4</v>
      </c>
      <c r="D15" s="63" t="s">
        <v>524</v>
      </c>
      <c r="E15" s="257"/>
      <c r="F15" s="257"/>
      <c r="G15" s="257"/>
      <c r="H15" s="257"/>
      <c r="I15" s="257"/>
      <c r="J15" s="257"/>
      <c r="M15" s="388">
        <f>SUM(M16:M24)</f>
        <v>16</v>
      </c>
      <c r="N15" s="388">
        <f t="shared" ref="N15:R15" si="17">SUM(N16:N24)</f>
        <v>19</v>
      </c>
      <c r="O15" s="388">
        <f t="shared" si="17"/>
        <v>22.6</v>
      </c>
      <c r="P15" s="388">
        <f t="shared" si="17"/>
        <v>29.000000000000004</v>
      </c>
      <c r="Q15" s="388">
        <f t="shared" si="17"/>
        <v>32</v>
      </c>
      <c r="R15" s="388">
        <f t="shared" si="17"/>
        <v>40</v>
      </c>
    </row>
    <row r="16" spans="1:18" ht="69" customHeight="1">
      <c r="B16" s="40" t="str">
        <f>'02. Models'!B16</f>
        <v>Business Analysis Planning &amp; Monitoring (*)</v>
      </c>
      <c r="C16" s="14">
        <f>'02. Models'!D16</f>
        <v>0.08</v>
      </c>
      <c r="D16" s="350" t="s">
        <v>320</v>
      </c>
      <c r="E16" s="256" t="s">
        <v>53</v>
      </c>
      <c r="F16" s="256" t="s">
        <v>53</v>
      </c>
      <c r="G16" s="256" t="s">
        <v>51</v>
      </c>
      <c r="H16" s="256" t="s">
        <v>51</v>
      </c>
      <c r="I16" s="256" t="s">
        <v>52</v>
      </c>
      <c r="J16" s="256" t="s">
        <v>215</v>
      </c>
      <c r="K16" s="36">
        <f t="shared" si="11"/>
        <v>5</v>
      </c>
      <c r="M16" s="387">
        <f t="shared" ref="M16:R16" si="18">(LEFT(E16,1)*$C16/$K$16)*100</f>
        <v>3.2</v>
      </c>
      <c r="N16" s="387">
        <f t="shared" si="18"/>
        <v>3.2</v>
      </c>
      <c r="O16" s="387">
        <f t="shared" si="18"/>
        <v>4.8</v>
      </c>
      <c r="P16" s="387">
        <f t="shared" si="18"/>
        <v>4.8</v>
      </c>
      <c r="Q16" s="387">
        <f t="shared" si="18"/>
        <v>6.4</v>
      </c>
      <c r="R16" s="387">
        <f t="shared" si="18"/>
        <v>8</v>
      </c>
    </row>
    <row r="17" spans="2:18" ht="65.400000000000006" customHeight="1">
      <c r="B17" s="259" t="str">
        <f>'02. Models'!B17</f>
        <v>Requirement Elicitation &amp; Collaboration (*)</v>
      </c>
      <c r="C17" s="14">
        <f>'02. Models'!D17</f>
        <v>7.0000000000000007E-2</v>
      </c>
      <c r="D17" s="350" t="s">
        <v>664</v>
      </c>
      <c r="E17" s="256" t="s">
        <v>53</v>
      </c>
      <c r="F17" s="256" t="s">
        <v>53</v>
      </c>
      <c r="G17" s="256" t="s">
        <v>53</v>
      </c>
      <c r="H17" s="256" t="s">
        <v>51</v>
      </c>
      <c r="I17" s="256" t="s">
        <v>52</v>
      </c>
      <c r="J17" s="256" t="s">
        <v>215</v>
      </c>
      <c r="K17" s="36">
        <f t="shared" si="11"/>
        <v>5</v>
      </c>
      <c r="M17" s="387">
        <f t="shared" ref="M17:R17" si="19">(LEFT(E17,1)*$C17/$K$17)*100</f>
        <v>2.8000000000000003</v>
      </c>
      <c r="N17" s="387">
        <f t="shared" si="19"/>
        <v>2.8000000000000003</v>
      </c>
      <c r="O17" s="387">
        <f t="shared" si="19"/>
        <v>2.8000000000000003</v>
      </c>
      <c r="P17" s="387">
        <f t="shared" si="19"/>
        <v>4.2</v>
      </c>
      <c r="Q17" s="387">
        <f t="shared" si="19"/>
        <v>5.6000000000000005</v>
      </c>
      <c r="R17" s="387">
        <f t="shared" si="19"/>
        <v>7.0000000000000009</v>
      </c>
    </row>
    <row r="18" spans="2:18" ht="79.2" customHeight="1">
      <c r="B18" s="259" t="str">
        <f>'02. Models'!B18</f>
        <v>Business Requirement Analysis (*)</v>
      </c>
      <c r="C18" s="14">
        <f>'02. Models'!D18</f>
        <v>0.1</v>
      </c>
      <c r="D18" s="350" t="s">
        <v>662</v>
      </c>
      <c r="E18" s="256" t="s">
        <v>53</v>
      </c>
      <c r="F18" s="256" t="s">
        <v>51</v>
      </c>
      <c r="G18" s="256" t="s">
        <v>51</v>
      </c>
      <c r="H18" s="256" t="s">
        <v>52</v>
      </c>
      <c r="I18" s="256" t="s">
        <v>52</v>
      </c>
      <c r="J18" s="256" t="s">
        <v>215</v>
      </c>
      <c r="K18" s="36">
        <f t="shared" si="11"/>
        <v>5</v>
      </c>
      <c r="M18" s="387">
        <f t="shared" ref="M18:R18" si="20">(LEFT(E18,1)*$C18/$K$18)*100</f>
        <v>4</v>
      </c>
      <c r="N18" s="387">
        <f t="shared" si="20"/>
        <v>6.0000000000000009</v>
      </c>
      <c r="O18" s="387">
        <f t="shared" si="20"/>
        <v>6.0000000000000009</v>
      </c>
      <c r="P18" s="387">
        <f t="shared" si="20"/>
        <v>8</v>
      </c>
      <c r="Q18" s="387">
        <f t="shared" si="20"/>
        <v>8</v>
      </c>
      <c r="R18" s="387">
        <f t="shared" si="20"/>
        <v>10</v>
      </c>
    </row>
    <row r="19" spans="2:18" ht="67.05" customHeight="1">
      <c r="B19" s="259" t="str">
        <f>'02. Models'!B19</f>
        <v>Business Solution Evaluation</v>
      </c>
      <c r="C19" s="14">
        <f>'02. Models'!D19</f>
        <v>0.05</v>
      </c>
      <c r="D19" s="164" t="s">
        <v>321</v>
      </c>
      <c r="E19" s="256" t="s">
        <v>53</v>
      </c>
      <c r="F19" s="256" t="s">
        <v>53</v>
      </c>
      <c r="G19" s="256" t="s">
        <v>51</v>
      </c>
      <c r="H19" s="256" t="s">
        <v>52</v>
      </c>
      <c r="I19" s="256" t="s">
        <v>52</v>
      </c>
      <c r="J19" s="256" t="s">
        <v>215</v>
      </c>
      <c r="K19" s="36">
        <f t="shared" si="11"/>
        <v>5</v>
      </c>
      <c r="M19" s="387">
        <f t="shared" ref="M19:R19" si="21">(LEFT(E19,1)*$C19/$K$19)*100</f>
        <v>2</v>
      </c>
      <c r="N19" s="387">
        <f t="shared" si="21"/>
        <v>2</v>
      </c>
      <c r="O19" s="387">
        <f t="shared" si="21"/>
        <v>3.0000000000000004</v>
      </c>
      <c r="P19" s="387">
        <f t="shared" si="21"/>
        <v>4</v>
      </c>
      <c r="Q19" s="387">
        <f t="shared" si="21"/>
        <v>4</v>
      </c>
      <c r="R19" s="387">
        <f t="shared" si="21"/>
        <v>5</v>
      </c>
    </row>
    <row r="20" spans="2:18" ht="67.5" customHeight="1">
      <c r="B20" s="259" t="str">
        <f>'02. Models'!B20</f>
        <v>Business Requirement Life-Cycle</v>
      </c>
      <c r="C20" s="14">
        <f>'02. Models'!D20</f>
        <v>0.02</v>
      </c>
      <c r="D20" s="164" t="s">
        <v>322</v>
      </c>
      <c r="E20" s="256" t="s">
        <v>53</v>
      </c>
      <c r="F20" s="256" t="s">
        <v>53</v>
      </c>
      <c r="G20" s="256" t="s">
        <v>51</v>
      </c>
      <c r="H20" s="256" t="s">
        <v>52</v>
      </c>
      <c r="I20" s="256" t="s">
        <v>52</v>
      </c>
      <c r="J20" s="256" t="s">
        <v>215</v>
      </c>
      <c r="K20" s="36">
        <f t="shared" si="11"/>
        <v>5</v>
      </c>
      <c r="M20" s="387">
        <f t="shared" ref="M20:R20" si="22">(LEFT(E20,1)*$C20/$K$20)*100</f>
        <v>0.8</v>
      </c>
      <c r="N20" s="387">
        <f t="shared" si="22"/>
        <v>0.8</v>
      </c>
      <c r="O20" s="387">
        <f t="shared" si="22"/>
        <v>1.2</v>
      </c>
      <c r="P20" s="387">
        <f t="shared" si="22"/>
        <v>1.6</v>
      </c>
      <c r="Q20" s="387">
        <f t="shared" si="22"/>
        <v>1.6</v>
      </c>
      <c r="R20" s="387">
        <f t="shared" si="22"/>
        <v>2</v>
      </c>
    </row>
    <row r="21" spans="2:18" ht="54" customHeight="1">
      <c r="B21" s="259" t="str">
        <f>'02. Models'!B21</f>
        <v>Business Strategy Design</v>
      </c>
      <c r="C21" s="14">
        <f>'02. Models'!D21</f>
        <v>0.02</v>
      </c>
      <c r="D21" s="164" t="s">
        <v>323</v>
      </c>
      <c r="E21" s="256" t="s">
        <v>53</v>
      </c>
      <c r="F21" s="256" t="s">
        <v>53</v>
      </c>
      <c r="G21" s="256" t="s">
        <v>51</v>
      </c>
      <c r="H21" s="256" t="s">
        <v>52</v>
      </c>
      <c r="I21" s="256" t="s">
        <v>52</v>
      </c>
      <c r="J21" s="256" t="s">
        <v>215</v>
      </c>
      <c r="K21" s="36">
        <f t="shared" si="11"/>
        <v>5</v>
      </c>
      <c r="M21" s="387">
        <f t="shared" ref="M21:R21" si="23">(LEFT(E21,1)*$C21/$K$21)*100</f>
        <v>0.8</v>
      </c>
      <c r="N21" s="387">
        <f t="shared" si="23"/>
        <v>0.8</v>
      </c>
      <c r="O21" s="387">
        <f t="shared" si="23"/>
        <v>1.2</v>
      </c>
      <c r="P21" s="387">
        <f t="shared" si="23"/>
        <v>1.6</v>
      </c>
      <c r="Q21" s="387">
        <f t="shared" si="23"/>
        <v>1.6</v>
      </c>
      <c r="R21" s="387">
        <f t="shared" si="23"/>
        <v>2</v>
      </c>
    </row>
    <row r="22" spans="2:18" ht="30.45" customHeight="1">
      <c r="B22" s="259" t="str">
        <f>'02. Models'!B22</f>
        <v>Business Acumen and Mindsets</v>
      </c>
      <c r="C22" s="14">
        <f>'02. Models'!D22</f>
        <v>0.03</v>
      </c>
      <c r="D22" s="164" t="s">
        <v>324</v>
      </c>
      <c r="E22" s="256" t="s">
        <v>53</v>
      </c>
      <c r="F22" s="256" t="s">
        <v>51</v>
      </c>
      <c r="G22" s="256" t="s">
        <v>51</v>
      </c>
      <c r="H22" s="256" t="s">
        <v>52</v>
      </c>
      <c r="I22" s="256" t="s">
        <v>52</v>
      </c>
      <c r="J22" s="256" t="s">
        <v>215</v>
      </c>
      <c r="K22" s="36">
        <f t="shared" si="11"/>
        <v>5</v>
      </c>
      <c r="M22" s="387">
        <f t="shared" ref="M22:R22" si="24">(LEFT(E22,1)*$C22/$K$22)*100</f>
        <v>1.2</v>
      </c>
      <c r="N22" s="387">
        <f t="shared" si="24"/>
        <v>1.7999999999999998</v>
      </c>
      <c r="O22" s="387">
        <f t="shared" si="24"/>
        <v>1.7999999999999998</v>
      </c>
      <c r="P22" s="387">
        <f t="shared" si="24"/>
        <v>2.4</v>
      </c>
      <c r="Q22" s="387">
        <f t="shared" si="24"/>
        <v>2.4</v>
      </c>
      <c r="R22" s="387">
        <f t="shared" si="24"/>
        <v>3</v>
      </c>
    </row>
    <row r="23" spans="2:18" ht="44.55" customHeight="1">
      <c r="B23" s="259" t="str">
        <f>'02. Models'!B23</f>
        <v>Software Design and Technology Stack</v>
      </c>
      <c r="C23" s="14">
        <f>'02. Models'!D23</f>
        <v>0.01</v>
      </c>
      <c r="D23" s="164" t="s">
        <v>326</v>
      </c>
      <c r="E23" s="256" t="s">
        <v>53</v>
      </c>
      <c r="F23" s="256" t="s">
        <v>53</v>
      </c>
      <c r="G23" s="256" t="s">
        <v>51</v>
      </c>
      <c r="H23" s="256" t="s">
        <v>52</v>
      </c>
      <c r="I23" s="256" t="s">
        <v>52</v>
      </c>
      <c r="J23" s="256" t="s">
        <v>215</v>
      </c>
      <c r="K23" s="36">
        <f t="shared" si="11"/>
        <v>5</v>
      </c>
      <c r="M23" s="387">
        <f t="shared" ref="M23:R23" si="25">(LEFT(E23,1)*$C23/$K$23)*100</f>
        <v>0.4</v>
      </c>
      <c r="N23" s="387">
        <f t="shared" si="25"/>
        <v>0.4</v>
      </c>
      <c r="O23" s="387">
        <f t="shared" si="25"/>
        <v>0.6</v>
      </c>
      <c r="P23" s="387">
        <f t="shared" si="25"/>
        <v>0.8</v>
      </c>
      <c r="Q23" s="387">
        <f t="shared" si="25"/>
        <v>0.8</v>
      </c>
      <c r="R23" s="387">
        <f t="shared" si="25"/>
        <v>1</v>
      </c>
    </row>
    <row r="24" spans="2:18" ht="52.05" customHeight="1">
      <c r="B24" s="259" t="str">
        <f>'02. Models'!B24</f>
        <v>Business Analysis Tools</v>
      </c>
      <c r="C24" s="14">
        <f>'02. Models'!D24</f>
        <v>0.02</v>
      </c>
      <c r="D24" s="164" t="s">
        <v>507</v>
      </c>
      <c r="E24" s="256" t="s">
        <v>53</v>
      </c>
      <c r="F24" s="256" t="s">
        <v>51</v>
      </c>
      <c r="G24" s="256" t="s">
        <v>51</v>
      </c>
      <c r="H24" s="256" t="s">
        <v>52</v>
      </c>
      <c r="I24" s="256" t="s">
        <v>52</v>
      </c>
      <c r="J24" s="256" t="s">
        <v>215</v>
      </c>
      <c r="K24" s="36">
        <f t="shared" si="11"/>
        <v>5</v>
      </c>
      <c r="M24" s="387">
        <f t="shared" ref="M24:R24" si="26">(LEFT(E24,1)*$C24/$K$24)*100</f>
        <v>0.8</v>
      </c>
      <c r="N24" s="387">
        <f t="shared" si="26"/>
        <v>1.2</v>
      </c>
      <c r="O24" s="387">
        <f t="shared" si="26"/>
        <v>1.2</v>
      </c>
      <c r="P24" s="387">
        <f t="shared" si="26"/>
        <v>1.6</v>
      </c>
      <c r="Q24" s="387">
        <f t="shared" si="26"/>
        <v>1.6</v>
      </c>
      <c r="R24" s="387">
        <f t="shared" si="26"/>
        <v>2</v>
      </c>
    </row>
    <row r="25" spans="2:18" ht="27" customHeight="1">
      <c r="B25" s="63" t="str">
        <f>'02. Models'!B25</f>
        <v>Foreign Language &amp; Certificates</v>
      </c>
      <c r="C25" s="64">
        <f>SUM(C26:C29)</f>
        <v>0.1</v>
      </c>
      <c r="D25" s="63" t="s">
        <v>526</v>
      </c>
      <c r="E25" s="257"/>
      <c r="F25" s="257"/>
      <c r="G25" s="257"/>
      <c r="H25" s="257"/>
      <c r="I25" s="257"/>
      <c r="J25" s="257"/>
      <c r="M25" s="386">
        <f>SUM(M26:M29)</f>
        <v>4.833333333333333</v>
      </c>
      <c r="N25" s="386">
        <f t="shared" ref="N25:R25" si="27">SUM(N26:N29)</f>
        <v>5.833333333333333</v>
      </c>
      <c r="O25" s="386">
        <f t="shared" si="27"/>
        <v>7.666666666666667</v>
      </c>
      <c r="P25" s="386">
        <f t="shared" si="27"/>
        <v>8.6666666666666661</v>
      </c>
      <c r="Q25" s="386">
        <f t="shared" si="27"/>
        <v>9.5</v>
      </c>
      <c r="R25" s="386">
        <f t="shared" si="27"/>
        <v>10</v>
      </c>
    </row>
    <row r="26" spans="2:18" ht="55.5" customHeight="1">
      <c r="B26" s="40" t="str">
        <f>'02. Models'!B26</f>
        <v>Foreign Language</v>
      </c>
      <c r="C26" s="14">
        <f>'02. Models'!D26</f>
        <v>0.05</v>
      </c>
      <c r="D26" s="165" t="s">
        <v>148</v>
      </c>
      <c r="E26" s="256" t="s">
        <v>503</v>
      </c>
      <c r="F26" s="256" t="s">
        <v>504</v>
      </c>
      <c r="G26" s="256" t="s">
        <v>505</v>
      </c>
      <c r="H26" s="256" t="s">
        <v>506</v>
      </c>
      <c r="I26" s="256" t="s">
        <v>506</v>
      </c>
      <c r="J26" s="256" t="s">
        <v>506</v>
      </c>
      <c r="K26" s="36">
        <f t="shared" si="11"/>
        <v>5</v>
      </c>
      <c r="M26" s="387">
        <f t="shared" ref="M26:R26" si="28">(LEFT(E26,1)*$C26/$K$26)*100</f>
        <v>2</v>
      </c>
      <c r="N26" s="387">
        <f t="shared" si="28"/>
        <v>3.0000000000000004</v>
      </c>
      <c r="O26" s="387">
        <f t="shared" si="28"/>
        <v>4</v>
      </c>
      <c r="P26" s="387">
        <f t="shared" si="28"/>
        <v>5</v>
      </c>
      <c r="Q26" s="387">
        <f t="shared" si="28"/>
        <v>5</v>
      </c>
      <c r="R26" s="387">
        <f t="shared" si="28"/>
        <v>5</v>
      </c>
    </row>
    <row r="27" spans="2:18" ht="54.6" customHeight="1">
      <c r="B27" s="259" t="str">
        <f>'02. Models'!B27</f>
        <v>Education Background</v>
      </c>
      <c r="C27" s="14">
        <f>'02. Models'!D27</f>
        <v>0.02</v>
      </c>
      <c r="D27" s="166" t="s">
        <v>681</v>
      </c>
      <c r="E27" s="256" t="s">
        <v>370</v>
      </c>
      <c r="F27" s="256" t="s">
        <v>370</v>
      </c>
      <c r="G27" s="256" t="s">
        <v>370</v>
      </c>
      <c r="H27" s="256" t="s">
        <v>370</v>
      </c>
      <c r="I27" s="256" t="s">
        <v>370</v>
      </c>
      <c r="J27" s="256" t="s">
        <v>370</v>
      </c>
      <c r="K27" s="36">
        <f t="shared" si="11"/>
        <v>3</v>
      </c>
      <c r="M27" s="387">
        <f t="shared" ref="M27:R27" si="29">(LEFT(E27,1)*$C27/$K$27)*100</f>
        <v>2</v>
      </c>
      <c r="N27" s="387">
        <f t="shared" si="29"/>
        <v>2</v>
      </c>
      <c r="O27" s="387">
        <f t="shared" si="29"/>
        <v>2</v>
      </c>
      <c r="P27" s="387">
        <f t="shared" si="29"/>
        <v>2</v>
      </c>
      <c r="Q27" s="387">
        <f t="shared" si="29"/>
        <v>2</v>
      </c>
      <c r="R27" s="387">
        <f t="shared" si="29"/>
        <v>2</v>
      </c>
    </row>
    <row r="28" spans="2:18" ht="49.95" customHeight="1">
      <c r="B28" s="259" t="str">
        <f>'02. Models'!B28</f>
        <v>Business Analysis Certifications</v>
      </c>
      <c r="C28" s="14">
        <f>'02. Models'!D28</f>
        <v>0.02</v>
      </c>
      <c r="D28" s="166" t="s">
        <v>327</v>
      </c>
      <c r="E28" s="256" t="s">
        <v>367</v>
      </c>
      <c r="F28" s="256" t="s">
        <v>367</v>
      </c>
      <c r="G28" s="256" t="s">
        <v>366</v>
      </c>
      <c r="H28" s="256" t="s">
        <v>366</v>
      </c>
      <c r="I28" s="256" t="s">
        <v>365</v>
      </c>
      <c r="J28" s="256" t="s">
        <v>364</v>
      </c>
      <c r="K28" s="36">
        <f t="shared" si="11"/>
        <v>4</v>
      </c>
      <c r="M28" s="387">
        <f t="shared" ref="M28:R28" si="30">(LEFT(E28,1)*$C28/$K$28)*100</f>
        <v>0.5</v>
      </c>
      <c r="N28" s="387">
        <f t="shared" si="30"/>
        <v>0.5</v>
      </c>
      <c r="O28" s="387">
        <f t="shared" si="30"/>
        <v>1</v>
      </c>
      <c r="P28" s="387">
        <f t="shared" si="30"/>
        <v>1</v>
      </c>
      <c r="Q28" s="387">
        <f t="shared" si="30"/>
        <v>1.5</v>
      </c>
      <c r="R28" s="387">
        <f t="shared" si="30"/>
        <v>2</v>
      </c>
    </row>
    <row r="29" spans="2:18" ht="27" customHeight="1">
      <c r="B29" s="259" t="str">
        <f>'02. Models'!B29</f>
        <v>Individual Learning in Year</v>
      </c>
      <c r="C29" s="14">
        <f>'02. Models'!D29</f>
        <v>0.01</v>
      </c>
      <c r="D29" s="166" t="s">
        <v>682</v>
      </c>
      <c r="E29" s="256" t="s">
        <v>104</v>
      </c>
      <c r="F29" s="256" t="s">
        <v>104</v>
      </c>
      <c r="G29" s="256" t="s">
        <v>91</v>
      </c>
      <c r="H29" s="256" t="s">
        <v>91</v>
      </c>
      <c r="I29" s="256" t="s">
        <v>174</v>
      </c>
      <c r="J29" s="256" t="s">
        <v>174</v>
      </c>
      <c r="K29" s="36">
        <f t="shared" si="11"/>
        <v>3</v>
      </c>
      <c r="M29" s="387">
        <f t="shared" ref="M29:R29" si="31">(LEFT(E29,1)*$C29/$K$29)*100</f>
        <v>0.33333333333333337</v>
      </c>
      <c r="N29" s="387">
        <f t="shared" si="31"/>
        <v>0.33333333333333337</v>
      </c>
      <c r="O29" s="387">
        <f t="shared" si="31"/>
        <v>0.66666666666666674</v>
      </c>
      <c r="P29" s="387">
        <f t="shared" si="31"/>
        <v>0.66666666666666674</v>
      </c>
      <c r="Q29" s="387">
        <f t="shared" si="31"/>
        <v>1</v>
      </c>
      <c r="R29" s="387">
        <f t="shared" si="31"/>
        <v>1</v>
      </c>
    </row>
    <row r="30" spans="2:18" ht="27" customHeight="1">
      <c r="B30" s="63" t="str">
        <f>'02. Models'!B30</f>
        <v>Non-Engineering and Softskills</v>
      </c>
      <c r="C30" s="64">
        <f>SUM(C31:C35)</f>
        <v>0.1</v>
      </c>
      <c r="D30" s="63" t="s">
        <v>527</v>
      </c>
      <c r="E30" s="257"/>
      <c r="F30" s="257"/>
      <c r="G30" s="257"/>
      <c r="H30" s="257"/>
      <c r="I30" s="257"/>
      <c r="J30" s="257"/>
      <c r="M30" s="386">
        <f t="shared" ref="M30:R30" si="32">SUM(M31:M35)</f>
        <v>2.5</v>
      </c>
      <c r="N30" s="386">
        <f t="shared" si="32"/>
        <v>3</v>
      </c>
      <c r="O30" s="386">
        <f t="shared" si="32"/>
        <v>5</v>
      </c>
      <c r="P30" s="386">
        <f t="shared" si="32"/>
        <v>6.5</v>
      </c>
      <c r="Q30" s="386">
        <f t="shared" si="32"/>
        <v>8.5</v>
      </c>
      <c r="R30" s="386">
        <f t="shared" si="32"/>
        <v>10</v>
      </c>
    </row>
    <row r="31" spans="2:18" ht="82.2" customHeight="1">
      <c r="B31" s="40" t="str">
        <f>'02. Models'!B31</f>
        <v>Communication and Problem Solving</v>
      </c>
      <c r="C31" s="14">
        <f>'02. Models'!D31</f>
        <v>0.03</v>
      </c>
      <c r="D31" s="350" t="s">
        <v>654</v>
      </c>
      <c r="E31" s="256" t="s">
        <v>110</v>
      </c>
      <c r="F31" s="256" t="s">
        <v>110</v>
      </c>
      <c r="G31" s="256" t="s">
        <v>53</v>
      </c>
      <c r="H31" s="256" t="s">
        <v>53</v>
      </c>
      <c r="I31" s="256" t="s">
        <v>51</v>
      </c>
      <c r="J31" s="256" t="s">
        <v>52</v>
      </c>
      <c r="K31" s="36">
        <f t="shared" si="11"/>
        <v>4</v>
      </c>
      <c r="M31" s="387">
        <f t="shared" ref="M31:R31" si="33">(LEFT(E31,1)*$C31/$K$31)*100</f>
        <v>0.75</v>
      </c>
      <c r="N31" s="387">
        <f t="shared" si="33"/>
        <v>0.75</v>
      </c>
      <c r="O31" s="387">
        <f t="shared" si="33"/>
        <v>1.5</v>
      </c>
      <c r="P31" s="387">
        <f t="shared" si="33"/>
        <v>1.5</v>
      </c>
      <c r="Q31" s="387">
        <f t="shared" si="33"/>
        <v>2.25</v>
      </c>
      <c r="R31" s="387">
        <f t="shared" si="33"/>
        <v>3</v>
      </c>
    </row>
    <row r="32" spans="2:18" ht="81" customHeight="1">
      <c r="B32" s="259" t="str">
        <f>'02. Models'!B33</f>
        <v>Analytical and Critical Thinking</v>
      </c>
      <c r="C32" s="14">
        <f>'02. Models'!D33</f>
        <v>0.02</v>
      </c>
      <c r="D32" s="350" t="s">
        <v>369</v>
      </c>
      <c r="E32" s="256" t="s">
        <v>110</v>
      </c>
      <c r="F32" s="256" t="s">
        <v>53</v>
      </c>
      <c r="G32" s="256" t="s">
        <v>53</v>
      </c>
      <c r="H32" s="256" t="s">
        <v>51</v>
      </c>
      <c r="I32" s="256" t="s">
        <v>52</v>
      </c>
      <c r="J32" s="256" t="s">
        <v>52</v>
      </c>
      <c r="K32" s="36">
        <f>MAX(LEFT(E32,1),LEFT(F32,1), LEFT(G32,1), LEFT(H32,1), LEFT(I32,1), LEFT(J32,1))</f>
        <v>4</v>
      </c>
      <c r="M32" s="387">
        <f t="shared" ref="M32:R32" si="34">(LEFT(E32,1)*$C32/$K$32)*100</f>
        <v>0.5</v>
      </c>
      <c r="N32" s="387">
        <f t="shared" si="34"/>
        <v>1</v>
      </c>
      <c r="O32" s="387">
        <f t="shared" si="34"/>
        <v>1</v>
      </c>
      <c r="P32" s="387">
        <f t="shared" si="34"/>
        <v>1.5</v>
      </c>
      <c r="Q32" s="387">
        <f t="shared" si="34"/>
        <v>2</v>
      </c>
      <c r="R32" s="387">
        <f t="shared" si="34"/>
        <v>2</v>
      </c>
    </row>
    <row r="33" spans="2:18" ht="99.6" customHeight="1">
      <c r="B33" s="259" t="str">
        <f>'02. Models'!B32</f>
        <v>Organization and Industry Knowledge</v>
      </c>
      <c r="C33" s="14">
        <f>'02. Models'!D32</f>
        <v>0.02</v>
      </c>
      <c r="D33" s="350" t="s">
        <v>655</v>
      </c>
      <c r="E33" s="256" t="s">
        <v>110</v>
      </c>
      <c r="F33" s="256" t="s">
        <v>110</v>
      </c>
      <c r="G33" s="256" t="s">
        <v>53</v>
      </c>
      <c r="H33" s="256" t="s">
        <v>51</v>
      </c>
      <c r="I33" s="256" t="s">
        <v>51</v>
      </c>
      <c r="J33" s="256" t="s">
        <v>52</v>
      </c>
      <c r="K33" s="36">
        <f t="shared" si="11"/>
        <v>4</v>
      </c>
      <c r="M33" s="387">
        <f t="shared" ref="M33:R33" si="35">(LEFT(E33,1)*$C33/$K$33)*100</f>
        <v>0.5</v>
      </c>
      <c r="N33" s="387">
        <f t="shared" si="35"/>
        <v>0.5</v>
      </c>
      <c r="O33" s="387">
        <f t="shared" si="35"/>
        <v>1</v>
      </c>
      <c r="P33" s="387">
        <f t="shared" si="35"/>
        <v>1.5</v>
      </c>
      <c r="Q33" s="387">
        <f t="shared" si="35"/>
        <v>1.5</v>
      </c>
      <c r="R33" s="387">
        <f t="shared" si="35"/>
        <v>2</v>
      </c>
    </row>
    <row r="34" spans="2:18" ht="124.05" customHeight="1">
      <c r="B34" s="259" t="str">
        <f>'02. Models'!B34</f>
        <v>Project Risk Management</v>
      </c>
      <c r="C34" s="14">
        <f>'02. Models'!D34</f>
        <v>0.02</v>
      </c>
      <c r="D34" s="350" t="s">
        <v>329</v>
      </c>
      <c r="E34" s="256" t="s">
        <v>110</v>
      </c>
      <c r="F34" s="256" t="s">
        <v>110</v>
      </c>
      <c r="G34" s="256" t="s">
        <v>53</v>
      </c>
      <c r="H34" s="256" t="s">
        <v>51</v>
      </c>
      <c r="I34" s="256" t="s">
        <v>52</v>
      </c>
      <c r="J34" s="256" t="s">
        <v>52</v>
      </c>
      <c r="K34" s="36">
        <f t="shared" si="11"/>
        <v>4</v>
      </c>
      <c r="M34" s="387">
        <f t="shared" ref="M34:R34" si="36">(LEFT(E34,1)*$C34/$K$34)*100</f>
        <v>0.5</v>
      </c>
      <c r="N34" s="387">
        <f t="shared" si="36"/>
        <v>0.5</v>
      </c>
      <c r="O34" s="387">
        <f t="shared" si="36"/>
        <v>1</v>
      </c>
      <c r="P34" s="387">
        <f t="shared" si="36"/>
        <v>1.5</v>
      </c>
      <c r="Q34" s="387">
        <f t="shared" si="36"/>
        <v>2</v>
      </c>
      <c r="R34" s="387">
        <f t="shared" si="36"/>
        <v>2</v>
      </c>
    </row>
    <row r="35" spans="2:18" ht="106.95" customHeight="1">
      <c r="B35" s="259" t="str">
        <f>'02. Models'!B35</f>
        <v>Project Human Resource Management</v>
      </c>
      <c r="C35" s="14">
        <f>'02. Models'!D35</f>
        <v>0.01</v>
      </c>
      <c r="D35" s="350" t="s">
        <v>328</v>
      </c>
      <c r="E35" s="256" t="s">
        <v>110</v>
      </c>
      <c r="F35" s="256" t="s">
        <v>110</v>
      </c>
      <c r="G35" s="256" t="s">
        <v>53</v>
      </c>
      <c r="H35" s="256" t="s">
        <v>53</v>
      </c>
      <c r="I35" s="256" t="s">
        <v>51</v>
      </c>
      <c r="J35" s="256" t="s">
        <v>52</v>
      </c>
      <c r="K35" s="36">
        <f t="shared" si="11"/>
        <v>4</v>
      </c>
      <c r="M35" s="387">
        <f t="shared" ref="M35:R35" si="37">(LEFT(E35,1)*$C35/$K$35)*100</f>
        <v>0.25</v>
      </c>
      <c r="N35" s="387">
        <f t="shared" si="37"/>
        <v>0.25</v>
      </c>
      <c r="O35" s="387">
        <f t="shared" si="37"/>
        <v>0.5</v>
      </c>
      <c r="P35" s="387">
        <f t="shared" si="37"/>
        <v>0.5</v>
      </c>
      <c r="Q35" s="387">
        <f t="shared" si="37"/>
        <v>0.75</v>
      </c>
      <c r="R35" s="387">
        <f t="shared" si="37"/>
        <v>1</v>
      </c>
    </row>
  </sheetData>
  <sheetProtection sheet="1" objects="1" scenarios="1" insertColumns="0" insertRows="0" insertHyperlinks="0" deleteColumns="0" deleteRows="0" sort="0" autoFilter="0" pivotTables="0"/>
  <protectedRanges>
    <protectedRange algorithmName="SHA-512" hashValue="hlVGgzE2CY0B4bZ/ImP9VgpTPz+mv24t2cB2EO4jKcWomyEKefrGHjeYa0QWh1EApu9J2GhpWwDYtM5PH9up8A==" saltValue="WPKgt1cpnDYCF4LP9xo6ug==" spinCount="100000" sqref="B31:B35" name="Range1_6_1_1_1"/>
  </protectedRanges>
  <mergeCells count="4">
    <mergeCell ref="B3:B4"/>
    <mergeCell ref="D1:D2"/>
    <mergeCell ref="D3:D4"/>
    <mergeCell ref="B2:C2"/>
  </mergeCells>
  <pageMargins left="0.7" right="0.7" top="0.75" bottom="0.75" header="0.3" footer="0.3"/>
  <pageSetup scale="45" orientation="landscape" horizontalDpi="300" verticalDpi="300" r:id="rId1"/>
  <colBreaks count="1" manualBreakCount="1">
    <brk id="18" max="1048575" man="1"/>
  </colBreaks>
  <ignoredErrors>
    <ignoredError sqref="M15 M25 M30" formula="1"/>
  </ignoredErrors>
  <extLst>
    <ext xmlns:x14="http://schemas.microsoft.com/office/spreadsheetml/2009/9/main" uri="{CCE6A557-97BC-4b89-ADB6-D9C93CAAB3DF}">
      <x14:dataValidations xmlns:xm="http://schemas.microsoft.com/office/excel/2006/main" count="12">
        <x14:dataValidation type="list" allowBlank="1" showInputMessage="1" showErrorMessage="1">
          <x14:formula1>
            <xm:f>'08. Definitions'!$M$115:$M$123</xm:f>
          </x14:formula1>
          <xm:sqref>E11:J11</xm:sqref>
        </x14:dataValidation>
        <x14:dataValidation type="list" allowBlank="1" showInputMessage="1" showErrorMessage="1">
          <x14:formula1>
            <xm:f>'08. Definitions'!$M$53:$M$60</xm:f>
          </x14:formula1>
          <xm:sqref>E16:J24</xm:sqref>
        </x14:dataValidation>
        <x14:dataValidation type="list" allowBlank="1" showInputMessage="1" showErrorMessage="1">
          <x14:formula1>
            <xm:f>'08. Definitions'!$M$63:$M$71</xm:f>
          </x14:formula1>
          <xm:sqref>E26:J26</xm:sqref>
        </x14:dataValidation>
        <x14:dataValidation type="list" allowBlank="1" showInputMessage="1" showErrorMessage="1">
          <x14:formula1>
            <xm:f>'08. Definitions'!$M$21:$M$25</xm:f>
          </x14:formula1>
          <xm:sqref>E7:J7</xm:sqref>
        </x14:dataValidation>
        <x14:dataValidation type="list" allowBlank="1" showInputMessage="1" showErrorMessage="1">
          <x14:formula1>
            <xm:f>'08. Definitions'!$M$83:$M$88</xm:f>
          </x14:formula1>
          <xm:sqref>E29:J29</xm:sqref>
        </x14:dataValidation>
        <x14:dataValidation type="list" allowBlank="1" showInputMessage="1" showErrorMessage="1">
          <x14:formula1>
            <xm:f>'08. Definitions'!$M$2:$M$6</xm:f>
          </x14:formula1>
          <xm:sqref>E6:J6</xm:sqref>
        </x14:dataValidation>
        <x14:dataValidation type="list" allowBlank="1" showInputMessage="1" showErrorMessage="1">
          <x14:formula1>
            <xm:f>'08. Definitions'!$M$9:$M$18</xm:f>
          </x14:formula1>
          <xm:sqref>E13:J14 E9:J9</xm:sqref>
        </x14:dataValidation>
        <x14:dataValidation type="list" allowBlank="1" showInputMessage="1" showErrorMessage="1">
          <x14:formula1>
            <xm:f>'08. Definitions'!$M$37:$M$42</xm:f>
          </x14:formula1>
          <xm:sqref>E10:J10</xm:sqref>
        </x14:dataValidation>
        <x14:dataValidation type="list" allowBlank="1" showInputMessage="1" showErrorMessage="1">
          <x14:formula1>
            <xm:f>'08. Definitions'!$M$91:$M$100</xm:f>
          </x14:formula1>
          <xm:sqref>E12:J12</xm:sqref>
        </x14:dataValidation>
        <x14:dataValidation type="list" allowBlank="1" showInputMessage="1" showErrorMessage="1">
          <x14:formula1>
            <xm:f>'08. Definitions'!$M$107:$M$112</xm:f>
          </x14:formula1>
          <xm:sqref>E27:J27</xm:sqref>
        </x14:dataValidation>
        <x14:dataValidation type="list" allowBlank="1" showInputMessage="1" showErrorMessage="1">
          <x14:formula1>
            <xm:f>'08. Definitions'!$M$74:$M$80</xm:f>
          </x14:formula1>
          <xm:sqref>E28:J28</xm:sqref>
        </x14:dataValidation>
        <x14:dataValidation type="list" allowBlank="1" showInputMessage="1" showErrorMessage="1">
          <x14:formula1>
            <xm:f>'08. Definitions'!$M$54:$M$60</xm:f>
          </x14:formula1>
          <xm:sqref>E31:J35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220"/>
  <sheetViews>
    <sheetView tabSelected="1" zoomScale="65" zoomScaleNormal="65" zoomScaleSheetLayoutView="70" workbookViewId="0">
      <pane xSplit="3" ySplit="5" topLeftCell="D6" activePane="bottomRight" state="frozen"/>
      <selection pane="topRight" activeCell="D1" sqref="D1"/>
      <selection pane="bottomLeft" activeCell="A6" sqref="A6"/>
      <selection pane="bottomRight" activeCell="D6" sqref="D6"/>
    </sheetView>
  </sheetViews>
  <sheetFormatPr defaultColWidth="9.21875" defaultRowHeight="12"/>
  <cols>
    <col min="1" max="1" width="4.88671875" style="3" customWidth="1"/>
    <col min="2" max="2" width="42.88671875" style="39" customWidth="1"/>
    <col min="3" max="3" width="141.33203125" style="39" customWidth="1"/>
    <col min="4" max="4" width="11.88671875" style="12" customWidth="1"/>
    <col min="5" max="5" width="31.77734375" style="3" customWidth="1"/>
    <col min="6" max="6" width="31.109375" style="13" customWidth="1"/>
    <col min="7" max="7" width="10.109375" style="4" customWidth="1"/>
    <col min="8" max="8" width="23.6640625" style="4" hidden="1" customWidth="1"/>
    <col min="9" max="9" width="10.109375" style="4" hidden="1" customWidth="1"/>
    <col min="10" max="10" width="11.77734375" style="4" hidden="1" customWidth="1"/>
    <col min="11" max="11" width="33.109375" style="43" customWidth="1"/>
    <col min="12" max="12" width="11.44140625" style="12" customWidth="1"/>
    <col min="13" max="13" width="10.77734375" style="12" customWidth="1"/>
    <col min="14" max="14" width="23.5546875" style="27" customWidth="1"/>
    <col min="15" max="15" width="10.5546875" style="16" customWidth="1"/>
    <col min="16" max="17" width="9.21875" style="16"/>
    <col min="18" max="18" width="29.21875" style="16" customWidth="1"/>
    <col min="19" max="27" width="9.21875" style="16"/>
    <col min="28" max="16384" width="9.21875" style="3"/>
  </cols>
  <sheetData>
    <row r="1" spans="1:27" ht="25.05" customHeight="1">
      <c r="A1" s="407" t="s">
        <v>629</v>
      </c>
      <c r="C1" s="403"/>
      <c r="D1" s="404"/>
      <c r="E1" s="461" t="s">
        <v>634</v>
      </c>
      <c r="F1" s="462"/>
      <c r="G1" s="463"/>
      <c r="H1" s="471" t="s">
        <v>697</v>
      </c>
      <c r="I1" s="472"/>
      <c r="J1" s="475" t="str">
        <f>"Number of the required criteria not passed for RANK: " &amp; H3</f>
        <v>Number of the required criteria not passed for RANK: BANE04</v>
      </c>
      <c r="K1" s="467" t="s">
        <v>694</v>
      </c>
      <c r="L1" s="467"/>
      <c r="M1" s="468" t="s">
        <v>181</v>
      </c>
      <c r="N1" s="468"/>
      <c r="O1" s="468"/>
    </row>
    <row r="2" spans="1:27" s="16" customFormat="1" ht="24.6" customHeight="1">
      <c r="B2" s="403" t="s">
        <v>511</v>
      </c>
      <c r="C2" s="405"/>
      <c r="D2" s="406"/>
      <c r="E2" s="464"/>
      <c r="F2" s="465"/>
      <c r="G2" s="466"/>
      <c r="H2" s="473"/>
      <c r="I2" s="474"/>
      <c r="J2" s="476"/>
      <c r="K2" s="467"/>
      <c r="L2" s="467"/>
      <c r="M2" s="468"/>
      <c r="N2" s="468"/>
      <c r="O2" s="468"/>
    </row>
    <row r="3" spans="1:27" s="5" customFormat="1" ht="32.549999999999997" customHeight="1">
      <c r="B3" s="189" t="s">
        <v>633</v>
      </c>
      <c r="C3" s="37"/>
      <c r="D3" s="406"/>
      <c r="E3" s="459" t="str">
        <f>IF(J5=0,"YOUR ASSESSMENT RANK: "&amp;IF(G3&gt;='04. Job Descriptions'!R4,'04. Job Descriptions'!R2&amp;"-"&amp;'04. Job Descriptions'!R3,IF(G3&gt;='04. Job Descriptions'!Q4,'04. Job Descriptions'!Q2&amp;"-"&amp;'04. Job Descriptions'!Q3,IF(G3&gt;='04. Job Descriptions'!P4,'04. Job Descriptions'!P2&amp;"-"&amp;'04. Job Descriptions'!P3,IF(G3&gt;='04. Job Descriptions'!O4,'04. Job Descriptions'!O2&amp;"-"&amp;'04. Job Descriptions'!O3,IF(G3&gt;='04. Job Descriptions'!N4,'04. Job Descriptions'!N2&amp;"-"&amp;'04. Job Descriptions'!N3,IF(G3&gt;='04. Job Descriptions'!M4,'04. Job Descriptions'!M2&amp;"-"&amp;'04. Job Descriptions'!M3,'06. Assessment Summary'!E5)))))),"YOU ACHIEVED RANK: "&amp;VLOOKUP(LEFT(H3,5)&amp;RIGHT(H3,1)-1,'08. Definitions'!$C$14:$D$20,2,FALSE)&amp;"-"&amp;LEFT(H3,5)&amp;RIGHT(H3,1)-1)</f>
        <v>YOU ACHIEVED RANK: Senior Business Analyst-BANE03</v>
      </c>
      <c r="F3" s="460"/>
      <c r="G3" s="389">
        <f>G5+G8+G15+G25+G30</f>
        <v>70.316666666666663</v>
      </c>
      <c r="H3" s="469" t="str">
        <f>IF(G3&gt;='04. Job Descriptions'!R4,'04. Job Descriptions'!R3,IF(G3&gt;='04. Job Descriptions'!Q4,'04. Job Descriptions'!Q3,IF(G3&gt;='04. Job Descriptions'!P4,'04. Job Descriptions'!P3,IF(G3&gt;='04. Job Descriptions'!O4,'04. Job Descriptions'!O3,IF(G3&gt;='04. Job Descriptions'!N4,'04. Job Descriptions'!N3,IF(G3&gt;='04. Job Descriptions'!M4,'04. Job Descriptions'!M3,'06. Assessment Summary'!E5))))))</f>
        <v>BANE04</v>
      </c>
      <c r="I3" s="470"/>
      <c r="J3" s="476"/>
      <c r="K3" s="187" t="s">
        <v>608</v>
      </c>
      <c r="L3" s="390">
        <f>L5+L8+L15+L25+L30</f>
        <v>67.816666666666663</v>
      </c>
      <c r="M3" s="468"/>
      <c r="N3" s="468"/>
      <c r="O3" s="468"/>
      <c r="P3" s="17"/>
      <c r="Q3" s="17"/>
      <c r="R3" s="17"/>
      <c r="S3" s="17"/>
      <c r="T3" s="17"/>
      <c r="U3" s="17"/>
      <c r="V3" s="17"/>
      <c r="W3" s="17"/>
      <c r="X3" s="17"/>
      <c r="Y3" s="17"/>
      <c r="Z3" s="17"/>
      <c r="AA3" s="17"/>
    </row>
    <row r="4" spans="1:27" ht="48.45" customHeight="1">
      <c r="B4" s="134" t="s">
        <v>80</v>
      </c>
      <c r="C4" s="135" t="s">
        <v>190</v>
      </c>
      <c r="D4" s="136" t="s">
        <v>184</v>
      </c>
      <c r="E4" s="185" t="s">
        <v>696</v>
      </c>
      <c r="F4" s="420" t="s">
        <v>695</v>
      </c>
      <c r="G4" s="428" t="s">
        <v>55</v>
      </c>
      <c r="H4" s="184" t="str">
        <f>"Competency Level for RANK: " &amp; H3</f>
        <v>Competency Level for RANK: BANE04</v>
      </c>
      <c r="I4" s="424" t="str">
        <f>H3 &amp; " Score(s)"</f>
        <v>BANE04 Score(s)</v>
      </c>
      <c r="J4" s="477"/>
      <c r="K4" s="184" t="s">
        <v>186</v>
      </c>
      <c r="L4" s="62" t="s">
        <v>175</v>
      </c>
      <c r="M4" s="177" t="s">
        <v>35</v>
      </c>
      <c r="N4" s="178" t="s">
        <v>36</v>
      </c>
      <c r="O4" s="177" t="s">
        <v>42</v>
      </c>
    </row>
    <row r="5" spans="1:27" s="7" customFormat="1" ht="26.55" customHeight="1">
      <c r="B5" s="137" t="str">
        <f>'04. Job Descriptions'!B5</f>
        <v>Roles &amp; Responsibilities</v>
      </c>
      <c r="C5" s="137" t="str">
        <f>'04. Job Descriptions'!D5</f>
        <v>FSOFTER is required to have the role and responsibility to perform one or more of the following tasks</v>
      </c>
      <c r="D5" s="138">
        <f>'04. Job Descriptions'!C5</f>
        <v>0.15</v>
      </c>
      <c r="E5" s="139"/>
      <c r="F5" s="140"/>
      <c r="G5" s="396">
        <f>SUM(G6:G7)</f>
        <v>10.35</v>
      </c>
      <c r="H5" s="140"/>
      <c r="I5" s="396">
        <f>SUM(I6:I7)</f>
        <v>10.35</v>
      </c>
      <c r="J5" s="427">
        <f>COUNTIF(J6:J35,"Yes")</f>
        <v>1</v>
      </c>
      <c r="K5" s="140"/>
      <c r="L5" s="396">
        <f>SUM(L6:L7)</f>
        <v>10.35</v>
      </c>
      <c r="M5" s="179"/>
      <c r="N5" s="180"/>
      <c r="O5" s="180"/>
      <c r="P5" s="18"/>
      <c r="Q5" s="18"/>
      <c r="R5" s="18"/>
      <c r="S5" s="18"/>
      <c r="T5" s="18"/>
      <c r="U5" s="18"/>
      <c r="V5" s="18"/>
      <c r="W5" s="18"/>
      <c r="X5" s="18"/>
      <c r="Y5" s="18"/>
      <c r="Z5" s="18"/>
      <c r="AA5" s="18"/>
    </row>
    <row r="6" spans="1:27" s="8" customFormat="1" ht="387.6" customHeight="1">
      <c r="B6" s="145" t="str">
        <f>'04. Job Descriptions'!B6</f>
        <v>Roles and Responsibilities</v>
      </c>
      <c r="C6" s="349" t="str">
        <f>'04. Job Descriptions'!D6</f>
        <v>Implementing all the processes and activities related to business analysis which can be analyzing and designing functional and non-functional requirements to the development, client or production environment, including but not limited to following responsibilities:
 BANE01:
   - Has responsibility for documenting requirement, supporting communicate requirement to stakeholders (under guidance) as role BA member. 
    - Project Diversity and Complexity - Low: &gt;=5 items in Elementary Complexity Criteria
 BANE02: 
    - Has responsibility for gathering requirement, elaborating and validating gathered requirement as role BA member.
    - Project Diversity and Complexity - Normal: All items of Elementary Complexity Criteria &amp;  &gt;= 1 item in General Advanced Complexity Criteria
 BANE03: 
    - Has responsibility for designing, analyzing and evaluating business solution to ensure that it aligns with the project's goal as role  BA member.
    - Project Diversity and Complexity - Medium: &gt;= 4 items of General Advanced Complexity Criteria &amp;  &gt;= 2 items of Management Complexity Criteria
      OR &gt;= 4 items of General Advanced Complexity Criteria &amp; &gt;=1 item in Consultant Complexity Criteria
 BANE04: 
    - Has responsibility for defining requirement approach &amp; process, planning and monitoring business analysis activities as role BA consultant. 
    - Project Diversity and Complexity - Complex: &gt;= 4 items in General Advanced Complexity Criteria &amp;  All items in Management Complexity Criteria
      OR &gt;= 5 items in General Advanced Complexity Criteria &amp;  &gt;= 2 item of Consultant Complexity Criteria
 BANE05: 
    - Has responsibility for performing system evaluation &amp; enterprise solution consultation as role BA consultant. 
    - Project Diversity and Complexity - Complex: &gt;= 4 items in General Advanced Complexity Criteria &amp;  All items in Management Complexity Criteria
      OR &gt;= 5 items in General Advanced Complexity Criteria &amp;  &gt;= 2 item of Consultant Complexity Criteria
 BANE06: 
   - Has responsibility for performing system evaluation &amp; enterprise solution consultation as role BA consultant.
   - Project Diversity and Complexity - Very Complex: &gt;= 4 items of Advanced Complexity Criteria &amp; All items of Management Complexity Criteria 
      OR All items in General Advanced &amp; All Consultant Complexity Criteria</v>
      </c>
      <c r="D6" s="146">
        <f>'04. Job Descriptions'!C6</f>
        <v>0.12</v>
      </c>
      <c r="E6" s="147" t="s">
        <v>642</v>
      </c>
      <c r="F6" s="148"/>
      <c r="G6" s="397">
        <f>IFERROR((LEFT(E6,1)*$D6/'04. Job Descriptions'!K6)*100,0)</f>
        <v>9.6</v>
      </c>
      <c r="H6" s="145" t="str">
        <f>IFERROR(HLOOKUP(H3,'04. Job Descriptions'!$B$4:$J$35,3,0),"NA")</f>
        <v>4: Create (BANE04)</v>
      </c>
      <c r="I6" s="397">
        <f>IFERROR(HLOOKUP($H$3,'04. Job Descriptions'!$M$3:$R$35,4,0),"NA")</f>
        <v>9.6</v>
      </c>
      <c r="J6" s="425" t="str">
        <f>IF(G6&lt;I6,"Yes","No")</f>
        <v>No</v>
      </c>
      <c r="K6" s="145" t="str">
        <f>IFERROR(HLOOKUP($K$3,'04. Job Descriptions'!$B$4:$J$35,3,0),"NA")</f>
        <v>4: Create (BANE04)</v>
      </c>
      <c r="L6" s="397">
        <f>IFERROR(HLOOKUP($K$3,'04. Job Descriptions'!$M$3:$R$35,4,0),"NA")</f>
        <v>9.6</v>
      </c>
      <c r="M6" s="150" t="str">
        <f>IF(G6&lt;L6,"Yes","No")</f>
        <v>No</v>
      </c>
      <c r="N6" s="151"/>
      <c r="O6" s="152"/>
      <c r="P6" s="19"/>
      <c r="Q6" s="19"/>
      <c r="R6" s="19"/>
      <c r="S6" s="19"/>
      <c r="T6" s="19"/>
      <c r="U6" s="19"/>
      <c r="V6" s="19"/>
      <c r="W6" s="19"/>
      <c r="X6" s="19"/>
      <c r="Y6" s="19"/>
      <c r="Z6" s="19"/>
      <c r="AA6" s="19"/>
    </row>
    <row r="7" spans="1:27" s="10" customFormat="1" ht="79.05" customHeight="1">
      <c r="B7" s="145" t="str">
        <f>'04. Job Descriptions'!B7</f>
        <v>Team Size To Lead for BA Leader</v>
      </c>
      <c r="C7" s="349" t="str">
        <f>'04. Job Descriptions'!D7</f>
        <v>4: Global Level - Have at least 70% BA2, 10% BA3, 3% BA4, 0.75%BA5
3: FSOFT Level - Have at least 50% BA2, 10% BA3, 3% BA4, 0.75%BA5
2: FSU Level - Have at least 50% BA2, 12% BA3, 3% BA4
1: BU Level - Have at least 50% BA2, 12% BA3
0: Not Required</v>
      </c>
      <c r="D7" s="146">
        <f>'04. Job Descriptions'!C7</f>
        <v>0.03</v>
      </c>
      <c r="E7" s="153" t="s">
        <v>331</v>
      </c>
      <c r="F7" s="148"/>
      <c r="G7" s="397">
        <f>IFERROR((LEFT(E7,1)*$D7/'04. Job Descriptions'!K7)*100,0)</f>
        <v>0.75</v>
      </c>
      <c r="H7" s="145" t="str">
        <f>IFERROR(HLOOKUP(H3,'04. Job Descriptions'!$B$4:$J$35,4,0),"NA")</f>
        <v>1: BU Level</v>
      </c>
      <c r="I7" s="397">
        <f>IFERROR(HLOOKUP($H$3,'04. Job Descriptions'!$M$3:$R$35,5,0),"NA")</f>
        <v>0.75</v>
      </c>
      <c r="J7" s="425" t="str">
        <f>IF(G7&lt;I7,"Yes","No")</f>
        <v>No</v>
      </c>
      <c r="K7" s="145" t="str">
        <f>IFERROR(HLOOKUP($K$3,'04. Job Descriptions'!$B$4:$J$35,4,0),"NA")</f>
        <v>1: BU Level</v>
      </c>
      <c r="L7" s="397">
        <f>IFERROR(HLOOKUP($K$3,'04. Job Descriptions'!$M$3:$R$35,5,0),"NA")</f>
        <v>0.75</v>
      </c>
      <c r="M7" s="150" t="str">
        <f>IF(G7&lt;L7,"Yes","No")</f>
        <v>No</v>
      </c>
      <c r="N7" s="154"/>
      <c r="O7" s="152"/>
      <c r="P7" s="20"/>
      <c r="Q7" s="20"/>
      <c r="R7" s="20"/>
      <c r="S7" s="20"/>
      <c r="T7" s="20"/>
      <c r="U7" s="20"/>
      <c r="V7" s="20"/>
      <c r="W7" s="20"/>
      <c r="X7" s="20"/>
      <c r="Y7" s="20"/>
      <c r="Z7" s="20"/>
      <c r="AA7" s="20"/>
    </row>
    <row r="8" spans="1:27" ht="27" customHeight="1">
      <c r="B8" s="137" t="str">
        <f>'04. Job Descriptions'!B8</f>
        <v>Experiences &amp; Contributions</v>
      </c>
      <c r="C8" s="137" t="str">
        <f>'04. Job Descriptions'!D8</f>
        <v>FSOFTER is required to have one or more of the following professional experiences and project contributions</v>
      </c>
      <c r="D8" s="138">
        <f>'04. Job Descriptions'!C8</f>
        <v>0.25</v>
      </c>
      <c r="E8" s="155"/>
      <c r="F8" s="155"/>
      <c r="G8" s="396">
        <f>SUM(G9:G14)</f>
        <v>17.400000000000002</v>
      </c>
      <c r="H8" s="143"/>
      <c r="I8" s="398">
        <f>SUM(I9:I14)</f>
        <v>13.3</v>
      </c>
      <c r="J8" s="426"/>
      <c r="K8" s="143"/>
      <c r="L8" s="398">
        <f>SUM(L9:L14)</f>
        <v>13.3</v>
      </c>
      <c r="M8" s="143"/>
      <c r="N8" s="144"/>
      <c r="O8" s="144"/>
    </row>
    <row r="9" spans="1:27" s="10" customFormat="1" ht="34.799999999999997" customHeight="1">
      <c r="B9" s="145" t="str">
        <f>'04. Job Descriptions'!B9</f>
        <v>Business Analysis Experiences (*)</v>
      </c>
      <c r="C9" s="156" t="str">
        <f>'04. Job Descriptions'!D9</f>
        <v>Number of years working as Business Analyst, Software Business Analyst, Software Development Life Cycle, Team Work, Agile Mindset</v>
      </c>
      <c r="D9" s="146">
        <f>'04. Job Descriptions'!C9</f>
        <v>0.05</v>
      </c>
      <c r="E9" s="157" t="s">
        <v>68</v>
      </c>
      <c r="F9" s="148"/>
      <c r="G9" s="397">
        <f>IFERROR((LEFT(E9,1)*D9/'04. Job Descriptions'!K9)*100,0)</f>
        <v>3.0000000000000004</v>
      </c>
      <c r="H9" s="145" t="str">
        <f>IFERROR(HLOOKUP($H$3,'04. Job Descriptions'!$B$4:$J$35,6,0),"NA")</f>
        <v>3: 3-5 years experience</v>
      </c>
      <c r="I9" s="397">
        <f>IFERROR(HLOOKUP($H$3,'04. Job Descriptions'!$M$3:$R$35,7,0),"NA")</f>
        <v>3.0000000000000004</v>
      </c>
      <c r="J9" s="425" t="str">
        <f>IF(G9&lt;I9,"Yes","No")</f>
        <v>No</v>
      </c>
      <c r="K9" s="145" t="str">
        <f>IFERROR(HLOOKUP($K$3,'04. Job Descriptions'!$B$4:$J$35,6,0),"NA")</f>
        <v>3: 3-5 years experience</v>
      </c>
      <c r="L9" s="397">
        <f>IFERROR(HLOOKUP($K$3,'04. Job Descriptions'!$M$3:$R$35,7,0),"NA")</f>
        <v>3.0000000000000004</v>
      </c>
      <c r="M9" s="150" t="str">
        <f t="shared" ref="M9:M14" si="0">IF(G9&lt;L9,"Yes","No")</f>
        <v>No</v>
      </c>
      <c r="N9" s="154"/>
      <c r="O9" s="152"/>
      <c r="P9" s="20"/>
      <c r="Q9" s="20"/>
      <c r="R9" s="20"/>
      <c r="S9" s="20"/>
      <c r="T9" s="20"/>
      <c r="U9" s="20"/>
      <c r="V9" s="20"/>
      <c r="W9" s="20"/>
      <c r="X9" s="20"/>
      <c r="Y9" s="20"/>
      <c r="Z9" s="20"/>
      <c r="AA9" s="20"/>
    </row>
    <row r="10" spans="1:27" s="10" customFormat="1" ht="40.200000000000003" customHeight="1">
      <c r="B10" s="145" t="str">
        <f>'04. Job Descriptions'!B10</f>
        <v>Subordinate Development</v>
      </c>
      <c r="C10" s="156" t="str">
        <f>'04. Job Descriptions'!D10</f>
        <v>Number of team members or number of people trained/coached</v>
      </c>
      <c r="D10" s="146">
        <f>'04. Job Descriptions'!C10</f>
        <v>0.03</v>
      </c>
      <c r="E10" s="153" t="s">
        <v>362</v>
      </c>
      <c r="F10" s="148"/>
      <c r="G10" s="397">
        <f>IFERROR((LEFT(E10,1)*D10/'04. Job Descriptions'!K10)*100,0)</f>
        <v>1.5</v>
      </c>
      <c r="H10" s="145" t="str">
        <f>IFERROR(HLOOKUP($H$3,'04. Job Descriptions'!$B$4:$J$35,7,0),"NA")</f>
        <v>2: 5-10 Members or Coaching 3-4 Junior BA</v>
      </c>
      <c r="I10" s="397">
        <f>IFERROR(HLOOKUP($H$3,'04. Job Descriptions'!$M$3:$R$35,8,0),"NA")</f>
        <v>1.5</v>
      </c>
      <c r="J10" s="425"/>
      <c r="K10" s="145" t="str">
        <f>IFERROR(HLOOKUP($K$3,'04. Job Descriptions'!$B$4:$J$35,7,0),"NA")</f>
        <v>2: 5-10 Members or Coaching 3-4 Junior BA</v>
      </c>
      <c r="L10" s="397">
        <f>IFERROR(HLOOKUP($K$3,'04. Job Descriptions'!$M$3:$R$35,8,0),"NA")</f>
        <v>1.5</v>
      </c>
      <c r="M10" s="150" t="str">
        <f t="shared" si="0"/>
        <v>No</v>
      </c>
      <c r="N10" s="154"/>
      <c r="O10" s="152"/>
      <c r="P10" s="20"/>
      <c r="Q10" s="20"/>
      <c r="R10" s="20"/>
      <c r="S10" s="20"/>
      <c r="T10" s="20"/>
      <c r="U10" s="20"/>
      <c r="V10" s="20"/>
      <c r="W10" s="20"/>
      <c r="X10" s="20"/>
      <c r="Y10" s="20"/>
      <c r="Z10" s="20"/>
      <c r="AA10" s="20"/>
    </row>
    <row r="11" spans="1:27" s="10" customFormat="1" ht="40.200000000000003" customHeight="1">
      <c r="B11" s="145" t="str">
        <f>'04. Job Descriptions'!B11</f>
        <v>Number of Projects/Phases</v>
      </c>
      <c r="C11" s="156" t="str">
        <f>'04. Job Descriptions'!D11</f>
        <v>The successful projects in business requirements that you have done at least one of the following tasks: analyze, design, develop, support, migrate, deploy, manage software projects or phases (FSOFTER can provide joined project is project rank of Project Rank A, Project Rank B, Project Rank C in Evidence section)</v>
      </c>
      <c r="D11" s="146">
        <f>'04. Job Descriptions'!C11</f>
        <v>0.03</v>
      </c>
      <c r="E11" s="153" t="s">
        <v>358</v>
      </c>
      <c r="F11" s="148"/>
      <c r="G11" s="397">
        <f>IFERROR((LEFT(E11,1)*D11/'04. Job Descriptions'!K11)*100,0)</f>
        <v>2.4</v>
      </c>
      <c r="H11" s="145" t="str">
        <f>IFERROR(HLOOKUP($H$3,'04. Job Descriptions'!$B$4:$J$35,8,0),"NA")</f>
        <v>3: ~06-10 Projects / Phases</v>
      </c>
      <c r="I11" s="397">
        <f>IFERROR(HLOOKUP($H$3,'04. Job Descriptions'!$M$3:$R$35,9,0),"NA")</f>
        <v>1.7999999999999998</v>
      </c>
      <c r="J11" s="425"/>
      <c r="K11" s="145" t="str">
        <f>IFERROR(HLOOKUP($K$3,'04. Job Descriptions'!$B$4:$J$35,8,0),"NA")</f>
        <v>3: ~06-10 Projects / Phases</v>
      </c>
      <c r="L11" s="397">
        <f>IFERROR(HLOOKUP($K$3,'04. Job Descriptions'!$M$3:$R$35,9,0),"NA")</f>
        <v>1.7999999999999998</v>
      </c>
      <c r="M11" s="150" t="str">
        <f t="shared" si="0"/>
        <v>No</v>
      </c>
      <c r="N11" s="158"/>
      <c r="O11" s="152"/>
      <c r="P11" s="20"/>
      <c r="Q11" s="20"/>
      <c r="R11" s="20"/>
      <c r="S11" s="20"/>
      <c r="T11" s="20"/>
      <c r="U11" s="20"/>
      <c r="V11" s="20"/>
      <c r="W11" s="20"/>
      <c r="X11" s="20"/>
      <c r="Y11" s="20"/>
      <c r="Z11" s="20"/>
      <c r="AA11" s="20"/>
    </row>
    <row r="12" spans="1:27" s="10" customFormat="1" ht="28.5" customHeight="1">
      <c r="B12" s="145" t="str">
        <f>'04. Job Descriptions'!B12</f>
        <v>Community Contributions</v>
      </c>
      <c r="C12" s="156" t="str">
        <f>'04. Job Descriptions'!D12</f>
        <v>Business Analyst Activities to support/training other projects/team, presenter of workshop, contribute IP/solution…</v>
      </c>
      <c r="D12" s="146">
        <f>'04. Job Descriptions'!C12</f>
        <v>0.02</v>
      </c>
      <c r="E12" s="153" t="s">
        <v>689</v>
      </c>
      <c r="F12" s="159"/>
      <c r="G12" s="397">
        <f>IFERROR((LEFT(E12,1)*D12/'04. Job Descriptions'!K12)*100,0)</f>
        <v>1.5</v>
      </c>
      <c r="H12" s="145" t="str">
        <f>IFERROR(HLOOKUP($H$3,'04. Job Descriptions'!$B$4:$J$35,9,0),"NA")</f>
        <v>2: Contribute &gt;= 1 IP/Solution at project level</v>
      </c>
      <c r="I12" s="397">
        <f>IFERROR(HLOOKUP($H$3,'04. Job Descriptions'!$M$3:$R$35,10,0),"NA")</f>
        <v>1</v>
      </c>
      <c r="J12" s="425"/>
      <c r="K12" s="145" t="str">
        <f>IFERROR(HLOOKUP($K$3,'04. Job Descriptions'!$B$4:$J$35,9,0),"NA")</f>
        <v>2: Contribute &gt;= 1 IP/Solution at project level</v>
      </c>
      <c r="L12" s="397">
        <f>IFERROR(HLOOKUP($K$3,'04. Job Descriptions'!$M$3:$R$35,10,0),"NA")</f>
        <v>1</v>
      </c>
      <c r="M12" s="150" t="str">
        <f t="shared" si="0"/>
        <v>No</v>
      </c>
      <c r="N12" s="154"/>
      <c r="O12" s="152"/>
      <c r="P12" s="20"/>
      <c r="Q12" s="20"/>
      <c r="R12" s="20"/>
      <c r="S12" s="20"/>
      <c r="T12" s="20"/>
      <c r="U12" s="20"/>
      <c r="V12" s="20"/>
      <c r="W12" s="20"/>
      <c r="X12" s="20"/>
      <c r="Y12" s="20"/>
      <c r="Z12" s="20"/>
      <c r="AA12" s="20"/>
    </row>
    <row r="13" spans="1:27" s="10" customFormat="1" ht="28.5" customHeight="1">
      <c r="B13" s="145" t="str">
        <f>'04. Job Descriptions'!B13</f>
        <v>Industry Experiences (IT and Non-IT fields)</v>
      </c>
      <c r="C13" s="156" t="str">
        <f>'04. Job Descriptions'!D13</f>
        <v>Banking, Finance, Insurance, Aviation, Automotive, Oil and Gas, Health Care, ERP, Data Warehouse, Logistic, Real estate, Telecom, …</v>
      </c>
      <c r="D13" s="146">
        <f>'04. Job Descriptions'!C13</f>
        <v>0.1</v>
      </c>
      <c r="E13" s="153" t="s">
        <v>68</v>
      </c>
      <c r="F13" s="148"/>
      <c r="G13" s="397">
        <f>IFERROR((LEFT(E13,1)*D13/'04. Job Descriptions'!K13)*100,0)</f>
        <v>7.5000000000000009</v>
      </c>
      <c r="H13" s="145" t="str">
        <f>IFERROR(HLOOKUP($H$3,'04. Job Descriptions'!$B$4:$J$35,10,0),"NA")</f>
        <v>2: 2-3 years experience</v>
      </c>
      <c r="I13" s="397">
        <f>IFERROR(HLOOKUP($H$3,'04. Job Descriptions'!$M$3:$R$35,11,0),"NA")</f>
        <v>5</v>
      </c>
      <c r="J13" s="425"/>
      <c r="K13" s="145" t="str">
        <f>IFERROR(HLOOKUP($K$3,'04. Job Descriptions'!$B$4:$J$35,10,0),"NA")</f>
        <v>2: 2-3 years experience</v>
      </c>
      <c r="L13" s="397">
        <f>IFERROR(HLOOKUP($K$3,'04. Job Descriptions'!$M$3:$R$35,11,0),"NA")</f>
        <v>5</v>
      </c>
      <c r="M13" s="150" t="str">
        <f t="shared" si="0"/>
        <v>No</v>
      </c>
      <c r="N13" s="154"/>
      <c r="O13" s="152"/>
      <c r="P13" s="20"/>
      <c r="Q13" s="20"/>
      <c r="R13" s="20"/>
      <c r="S13" s="20"/>
      <c r="T13" s="20"/>
      <c r="U13" s="20"/>
      <c r="V13" s="20"/>
      <c r="W13" s="20"/>
      <c r="X13" s="20"/>
      <c r="Y13" s="20"/>
      <c r="Z13" s="20"/>
      <c r="AA13" s="20"/>
    </row>
    <row r="14" spans="1:27" s="10" customFormat="1" ht="39.450000000000003" customHeight="1">
      <c r="B14" s="145" t="str">
        <f>'04. Job Descriptions'!B14</f>
        <v>Consulting for Sales/Biding Teams</v>
      </c>
      <c r="C14" s="156" t="str">
        <f>'04. Job Descriptions'!D14</f>
        <v>Business Requirements, Technology Stack, Customer Experience, Vision Development, Processes and Activities, Pricing and Positioning Strategies,  Drive Product Launch, …</v>
      </c>
      <c r="D14" s="146">
        <f>'04. Job Descriptions'!C14</f>
        <v>0.02</v>
      </c>
      <c r="E14" s="153" t="s">
        <v>68</v>
      </c>
      <c r="F14" s="148"/>
      <c r="G14" s="397">
        <f>IFERROR((LEFT(E14,1)*D14/'04. Job Descriptions'!K14)*100,0)</f>
        <v>1.5</v>
      </c>
      <c r="H14" s="145" t="str">
        <f>IFERROR(HLOOKUP($H$3,'04. Job Descriptions'!$B$4:$J$35,11,0),"NA")</f>
        <v>2: 2-3 years experience</v>
      </c>
      <c r="I14" s="397">
        <f>IFERROR(HLOOKUP($H$3,'04. Job Descriptions'!$M$3:$R$35,12,0),"NA")</f>
        <v>1</v>
      </c>
      <c r="J14" s="425"/>
      <c r="K14" s="145" t="str">
        <f>IFERROR(HLOOKUP($K$3,'04. Job Descriptions'!$B$4:$J$35,11,0),"NA")</f>
        <v>2: 2-3 years experience</v>
      </c>
      <c r="L14" s="397">
        <f>IFERROR(HLOOKUP($K$3,'04. Job Descriptions'!$M$3:$R$35,12,0),"NA")</f>
        <v>1</v>
      </c>
      <c r="M14" s="150" t="str">
        <f t="shared" si="0"/>
        <v>No</v>
      </c>
      <c r="N14" s="154"/>
      <c r="O14" s="152"/>
      <c r="P14" s="20"/>
      <c r="Q14" s="20"/>
      <c r="R14" s="20"/>
      <c r="S14" s="20"/>
      <c r="T14" s="20"/>
      <c r="U14" s="20"/>
      <c r="V14" s="20"/>
      <c r="W14" s="20"/>
      <c r="X14" s="20"/>
      <c r="Y14" s="20"/>
      <c r="Z14" s="20"/>
      <c r="AA14" s="20"/>
    </row>
    <row r="15" spans="1:27" ht="37.5" customHeight="1">
      <c r="B15" s="137" t="str">
        <f>'04. Job Descriptions'!B15</f>
        <v>Professional Business Analysis Skills</v>
      </c>
      <c r="C15" s="137" t="str">
        <f>'04. Job Descriptions'!D15</f>
        <v>FSOFTER is required to have one or more of the following specialized skills to perform assigned tasks</v>
      </c>
      <c r="D15" s="138">
        <f>'04. Job Descriptions'!C15</f>
        <v>0.4</v>
      </c>
      <c r="E15" s="155"/>
      <c r="F15" s="155"/>
      <c r="G15" s="396">
        <f>SUM(G16:G24)</f>
        <v>27.400000000000002</v>
      </c>
      <c r="H15" s="167"/>
      <c r="I15" s="398">
        <f>SUM(I16:I24)</f>
        <v>29.000000000000004</v>
      </c>
      <c r="J15" s="426"/>
      <c r="K15" s="167"/>
      <c r="L15" s="398">
        <f>SUM(L16:L24)</f>
        <v>29.000000000000004</v>
      </c>
      <c r="M15" s="143"/>
      <c r="N15" s="144"/>
      <c r="O15" s="144"/>
    </row>
    <row r="16" spans="1:27" s="10" customFormat="1" ht="80.55" customHeight="1">
      <c r="B16" s="145" t="str">
        <f>'04. Job Descriptions'!B16</f>
        <v>Business Analysis Planning &amp; Monitoring (*)</v>
      </c>
      <c r="C16" s="97" t="str">
        <f>'04. Job Descriptions'!D16</f>
        <v>- Plan Business Analysis Approach
- Plan Stakeholders Engagement
- Plan Business Analysis Governance
- Plan Business Analysis Information Management
- Identify Business Analysis Performance Improvement</v>
      </c>
      <c r="D16" s="146">
        <f>'04. Job Descriptions'!C16</f>
        <v>0.08</v>
      </c>
      <c r="E16" s="153" t="s">
        <v>53</v>
      </c>
      <c r="F16" s="148"/>
      <c r="G16" s="397">
        <f>IFERROR((LEFT(E16,1)*D16/'04. Job Descriptions'!K16)*100,0)</f>
        <v>3.2</v>
      </c>
      <c r="H16" s="145" t="str">
        <f>IFERROR(HLOOKUP($H$3,'04. Job Descriptions'!$B$4:$J$35,13,0),"NA")</f>
        <v>3: Intermediate</v>
      </c>
      <c r="I16" s="397">
        <f>IFERROR(HLOOKUP($H$3,'04. Job Descriptions'!$M$3:$R$35,14,0),"NA")</f>
        <v>4.8</v>
      </c>
      <c r="J16" s="425" t="str">
        <f>IF(G16&lt;I16,"Yes","No")</f>
        <v>Yes</v>
      </c>
      <c r="K16" s="145" t="str">
        <f>IFERROR(HLOOKUP($K$3,'04. Job Descriptions'!$B$4:$J$35,13,0),"NA")</f>
        <v>3: Intermediate</v>
      </c>
      <c r="L16" s="397">
        <f>IFERROR(HLOOKUP($K$3,'04. Job Descriptions'!$M$3:$R$35,14,0),"NA")</f>
        <v>4.8</v>
      </c>
      <c r="M16" s="150" t="str">
        <f t="shared" ref="M16:M24" si="1">IF(G16&lt;L16,"Yes","No")</f>
        <v>Yes</v>
      </c>
      <c r="N16" s="154"/>
      <c r="O16" s="152"/>
      <c r="P16" s="20"/>
      <c r="Q16" s="20"/>
      <c r="R16" s="20"/>
      <c r="S16" s="20"/>
      <c r="T16" s="20"/>
      <c r="U16" s="20"/>
      <c r="V16" s="20"/>
      <c r="W16" s="20"/>
      <c r="X16" s="20"/>
      <c r="Y16" s="20"/>
      <c r="Z16" s="20"/>
      <c r="AA16" s="20"/>
    </row>
    <row r="17" spans="1:27" s="10" customFormat="1" ht="82.8" customHeight="1">
      <c r="B17" s="145" t="str">
        <f>'04. Job Descriptions'!B17</f>
        <v>Requirement Elicitation &amp; Collaboration (*)</v>
      </c>
      <c r="C17" s="97" t="str">
        <f>'04. Job Descriptions'!D17</f>
        <v>- Elicitation Preparation
- Requirement Workshop / Conduct Elicitation
- Requirement Transfer &amp; Confirmation
- Requirement Management &amp; Communication
- Stakeholders Management</v>
      </c>
      <c r="D17" s="146">
        <f>'04. Job Descriptions'!C17</f>
        <v>7.0000000000000007E-2</v>
      </c>
      <c r="E17" s="153" t="s">
        <v>51</v>
      </c>
      <c r="F17" s="148"/>
      <c r="G17" s="397">
        <f>IFERROR((LEFT(E17,1)*D17/'04. Job Descriptions'!K17)*100,0)</f>
        <v>4.2</v>
      </c>
      <c r="H17" s="145" t="str">
        <f>IFERROR(HLOOKUP($H$3,'04. Job Descriptions'!$B$4:$J$35,14,0),"NA")</f>
        <v>3: Intermediate</v>
      </c>
      <c r="I17" s="397">
        <f>IFERROR(HLOOKUP($H$3,'04. Job Descriptions'!$M$3:$R$35,15,0),"NA")</f>
        <v>4.2</v>
      </c>
      <c r="J17" s="425" t="str">
        <f>IF(G17&lt;I17,"Yes","No")</f>
        <v>No</v>
      </c>
      <c r="K17" s="145" t="str">
        <f>IFERROR(HLOOKUP($K$3,'04. Job Descriptions'!$B$4:$J$35,14,0),"NA")</f>
        <v>3: Intermediate</v>
      </c>
      <c r="L17" s="397">
        <f>IFERROR(HLOOKUP($K$3,'04. Job Descriptions'!$M$3:$R$35,15,0),"NA")</f>
        <v>4.2</v>
      </c>
      <c r="M17" s="150" t="str">
        <f t="shared" si="1"/>
        <v>No</v>
      </c>
      <c r="N17" s="154"/>
      <c r="O17" s="152"/>
      <c r="P17" s="20"/>
      <c r="Q17" s="20"/>
      <c r="R17" s="20"/>
      <c r="S17" s="20"/>
      <c r="T17" s="20"/>
      <c r="U17" s="20"/>
      <c r="V17" s="20"/>
      <c r="W17" s="20"/>
      <c r="X17" s="20"/>
      <c r="Y17" s="20"/>
      <c r="Z17" s="20"/>
      <c r="AA17" s="20"/>
    </row>
    <row r="18" spans="1:27" s="10" customFormat="1" ht="88.2" customHeight="1">
      <c r="B18" s="145" t="str">
        <f>'04. Job Descriptions'!B18</f>
        <v>Business Requirement Analysis (*)</v>
      </c>
      <c r="C18" s="97" t="str">
        <f>'04. Job Descriptions'!D18</f>
        <v>- Requirement Specification
- Requirement Verification
- Requirement Validation
- Requirement UI/UX Behavior Design &amp; Principles
- Requirement CX (Customer Experience / Customer Journey)
- Solution Definition &amp; Assessment</v>
      </c>
      <c r="D18" s="146">
        <f>'04. Job Descriptions'!C18</f>
        <v>0.1</v>
      </c>
      <c r="E18" s="153" t="s">
        <v>52</v>
      </c>
      <c r="F18" s="148"/>
      <c r="G18" s="397">
        <f>IFERROR((LEFT(E18,1)*D18/'04. Job Descriptions'!K18)*100,0)</f>
        <v>8</v>
      </c>
      <c r="H18" s="145" t="str">
        <f>IFERROR(HLOOKUP($H$3,'04. Job Descriptions'!$B$4:$J$35,15,0),"NA")</f>
        <v>4: Advanced</v>
      </c>
      <c r="I18" s="397">
        <f>IFERROR(HLOOKUP($H$3,'04. Job Descriptions'!$M$3:$R$35,16,0),"NA")</f>
        <v>8</v>
      </c>
      <c r="J18" s="425" t="str">
        <f>IF(G18&lt;I18,"Yes","No")</f>
        <v>No</v>
      </c>
      <c r="K18" s="145" t="str">
        <f>IFERROR(HLOOKUP($K$3,'04. Job Descriptions'!$B$4:$J$35,15,0),"NA")</f>
        <v>4: Advanced</v>
      </c>
      <c r="L18" s="397">
        <f>IFERROR(HLOOKUP($K$3,'04. Job Descriptions'!$M$3:$R$35,16,0),"NA")</f>
        <v>8</v>
      </c>
      <c r="M18" s="150" t="str">
        <f t="shared" si="1"/>
        <v>No</v>
      </c>
      <c r="N18" s="154"/>
      <c r="O18" s="152"/>
      <c r="P18" s="20"/>
      <c r="Q18" s="20"/>
      <c r="R18" s="20"/>
      <c r="S18" s="20"/>
      <c r="T18" s="20"/>
      <c r="U18" s="20"/>
      <c r="V18" s="20"/>
      <c r="W18" s="20"/>
      <c r="X18" s="20"/>
      <c r="Y18" s="20"/>
      <c r="Z18" s="20"/>
      <c r="AA18" s="20"/>
    </row>
    <row r="19" spans="1:27" ht="82.8" customHeight="1">
      <c r="A19" s="10"/>
      <c r="B19" s="145" t="str">
        <f>'04. Job Descriptions'!B19</f>
        <v>Business Solution Evaluation</v>
      </c>
      <c r="C19" s="97" t="str">
        <f>'04. Job Descriptions'!D19</f>
        <v>- Measure Solution Performance
- Analyze Performance Measured
- Assess Solution Limitations
- Assess Enterprise Limitations
- Recommend Actions to Increase Solution's Value</v>
      </c>
      <c r="D19" s="146">
        <f>'04. Job Descriptions'!C19</f>
        <v>0.05</v>
      </c>
      <c r="E19" s="153" t="s">
        <v>52</v>
      </c>
      <c r="F19" s="148"/>
      <c r="G19" s="397">
        <f>IFERROR((LEFT(E19,1)*D19/'04. Job Descriptions'!K19)*100,0)</f>
        <v>4</v>
      </c>
      <c r="H19" s="145" t="str">
        <f>IFERROR(HLOOKUP($H$3,'04. Job Descriptions'!$B$4:$J$35,16,0),"NA")</f>
        <v>4: Advanced</v>
      </c>
      <c r="I19" s="397">
        <f>IFERROR(HLOOKUP($H$3,'04. Job Descriptions'!$M$3:$R$35,17,0),"NA")</f>
        <v>4</v>
      </c>
      <c r="J19" s="425"/>
      <c r="K19" s="145" t="str">
        <f>IFERROR(HLOOKUP($K$3,'04. Job Descriptions'!$B$4:$J$35,16,0),"NA")</f>
        <v>4: Advanced</v>
      </c>
      <c r="L19" s="397">
        <f>IFERROR(HLOOKUP($K$3,'04. Job Descriptions'!$M$3:$R$35,17,0),"NA")</f>
        <v>4</v>
      </c>
      <c r="M19" s="150" t="str">
        <f t="shared" si="1"/>
        <v>No</v>
      </c>
      <c r="N19" s="160"/>
      <c r="O19" s="152"/>
    </row>
    <row r="20" spans="1:27" s="10" customFormat="1" ht="82.8" customHeight="1">
      <c r="B20" s="145" t="str">
        <f>'04. Job Descriptions'!B20</f>
        <v>Business Requirement Life-Cycle</v>
      </c>
      <c r="C20" s="97" t="str">
        <f>'04. Job Descriptions'!D20</f>
        <v>- Requirement Tracing
- Requirement Maintenance
- Requirement Prioritization
- Requirement Change Management
- Requirement Approval</v>
      </c>
      <c r="D20" s="146">
        <f>'04. Job Descriptions'!C20</f>
        <v>0.02</v>
      </c>
      <c r="E20" s="153" t="s">
        <v>52</v>
      </c>
      <c r="F20" s="148"/>
      <c r="G20" s="397">
        <f>IFERROR((LEFT(E20,1)*D20/'04. Job Descriptions'!K20)*100,0)</f>
        <v>1.6</v>
      </c>
      <c r="H20" s="145" t="str">
        <f>IFERROR(HLOOKUP($H$3,'04. Job Descriptions'!$B$4:$J$35,17,0),"NA")</f>
        <v>4: Advanced</v>
      </c>
      <c r="I20" s="397">
        <f>IFERROR(HLOOKUP($H$3,'04. Job Descriptions'!$M$3:$R$35,18,0),"NA")</f>
        <v>1.6</v>
      </c>
      <c r="J20" s="425"/>
      <c r="K20" s="145" t="str">
        <f>IFERROR(HLOOKUP($K$3,'04. Job Descriptions'!$B$4:$J$35,17,0),"NA")</f>
        <v>4: Advanced</v>
      </c>
      <c r="L20" s="397">
        <f>IFERROR(HLOOKUP($K$3,'04. Job Descriptions'!$M$3:$R$35,18,0),"NA")</f>
        <v>1.6</v>
      </c>
      <c r="M20" s="150" t="str">
        <f t="shared" si="1"/>
        <v>No</v>
      </c>
      <c r="N20" s="154"/>
      <c r="O20" s="152"/>
      <c r="P20" s="20"/>
      <c r="Q20" s="20"/>
      <c r="R20" s="20"/>
      <c r="S20" s="20"/>
      <c r="T20" s="20"/>
      <c r="U20" s="20"/>
      <c r="V20" s="20"/>
      <c r="W20" s="20"/>
      <c r="X20" s="20"/>
      <c r="Y20" s="20"/>
      <c r="Z20" s="20"/>
      <c r="AA20" s="20"/>
    </row>
    <row r="21" spans="1:27" s="10" customFormat="1" ht="79.2" customHeight="1">
      <c r="B21" s="145" t="str">
        <f>'04. Job Descriptions'!B21</f>
        <v>Business Strategy Design</v>
      </c>
      <c r="C21" s="97" t="str">
        <f>'04. Job Descriptions'!D21</f>
        <v>- Current State Analysis
- Future State Analysis
- Risk Analysis
- Define Change Strategy</v>
      </c>
      <c r="D21" s="146">
        <f>'04. Job Descriptions'!C21</f>
        <v>0.02</v>
      </c>
      <c r="E21" s="153" t="s">
        <v>52</v>
      </c>
      <c r="F21" s="148"/>
      <c r="G21" s="397">
        <f>IFERROR((LEFT(E21,1)*D21/'04. Job Descriptions'!K21)*100,0)</f>
        <v>1.6</v>
      </c>
      <c r="H21" s="145" t="str">
        <f>IFERROR(HLOOKUP($H$3,'04. Job Descriptions'!$B$4:$J$35,18,0),"NA")</f>
        <v>4: Advanced</v>
      </c>
      <c r="I21" s="397">
        <f>IFERROR(HLOOKUP($H$3,'04. Job Descriptions'!$M$3:$R$35,19,0),"NA")</f>
        <v>1.6</v>
      </c>
      <c r="J21" s="425"/>
      <c r="K21" s="145" t="str">
        <f>IFERROR(HLOOKUP($K$3,'04. Job Descriptions'!$B$4:$J$35,18,0),"NA")</f>
        <v>4: Advanced</v>
      </c>
      <c r="L21" s="397">
        <f>IFERROR(HLOOKUP($K$3,'04. Job Descriptions'!$M$3:$R$35,19,0),"NA")</f>
        <v>1.6</v>
      </c>
      <c r="M21" s="150" t="str">
        <f t="shared" si="1"/>
        <v>No</v>
      </c>
      <c r="N21" s="154"/>
      <c r="O21" s="152"/>
      <c r="P21" s="20"/>
      <c r="Q21" s="20"/>
      <c r="R21" s="20"/>
      <c r="S21" s="20"/>
      <c r="T21" s="20"/>
      <c r="U21" s="20"/>
      <c r="V21" s="20"/>
      <c r="W21" s="20"/>
      <c r="X21" s="20"/>
      <c r="Y21" s="20"/>
      <c r="Z21" s="20"/>
      <c r="AA21" s="20"/>
    </row>
    <row r="22" spans="1:27" s="10" customFormat="1" ht="43.8" customHeight="1">
      <c r="B22" s="145" t="str">
        <f>'04. Job Descriptions'!B22</f>
        <v>Business Acumen and Mindsets</v>
      </c>
      <c r="C22" s="97" t="str">
        <f>'04. Job Descriptions'!D22</f>
        <v>- Understanding of fundamental business principles and best practices.
- Analysis mindsets</v>
      </c>
      <c r="D22" s="146">
        <f>'04. Job Descriptions'!C22</f>
        <v>0.03</v>
      </c>
      <c r="E22" s="153" t="s">
        <v>52</v>
      </c>
      <c r="F22" s="148"/>
      <c r="G22" s="397">
        <f>IFERROR((LEFT(E22,1)*D22/'04. Job Descriptions'!K22)*100,0)</f>
        <v>2.4</v>
      </c>
      <c r="H22" s="145" t="str">
        <f>IFERROR(HLOOKUP($H$3,'04. Job Descriptions'!$B$4:$J$35,19,0),"NA")</f>
        <v>4: Advanced</v>
      </c>
      <c r="I22" s="397">
        <f>IFERROR(HLOOKUP($H$3,'04. Job Descriptions'!$M$3:$R$35,20,0),"NA")</f>
        <v>2.4</v>
      </c>
      <c r="J22" s="425"/>
      <c r="K22" s="145" t="str">
        <f>IFERROR(HLOOKUP($K$3,'04. Job Descriptions'!$B$4:$J$35,19,0),"NA")</f>
        <v>4: Advanced</v>
      </c>
      <c r="L22" s="397">
        <f>IFERROR(HLOOKUP($K$3,'04. Job Descriptions'!$M$3:$R$35,20,0),"NA")</f>
        <v>2.4</v>
      </c>
      <c r="M22" s="150" t="str">
        <f t="shared" si="1"/>
        <v>No</v>
      </c>
      <c r="N22" s="154"/>
      <c r="O22" s="152"/>
      <c r="P22" s="20"/>
      <c r="Q22" s="20"/>
      <c r="R22" s="20"/>
      <c r="S22" s="20"/>
      <c r="T22" s="20"/>
      <c r="U22" s="20"/>
      <c r="V22" s="20"/>
      <c r="W22" s="20"/>
      <c r="X22" s="20"/>
      <c r="Y22" s="20"/>
      <c r="Z22" s="20"/>
      <c r="AA22" s="20"/>
    </row>
    <row r="23" spans="1:27" s="10" customFormat="1" ht="63" customHeight="1">
      <c r="B23" s="145" t="str">
        <f>'04. Job Descriptions'!B23</f>
        <v>Software Design and Technology Stack</v>
      </c>
      <c r="C23" s="97" t="str">
        <f>'04. Job Descriptions'!D23</f>
        <v>- Software Architecture Design
- Object Oriented Design
- Relational and Non-Relational Database Platforms</v>
      </c>
      <c r="D23" s="146">
        <f>'04. Job Descriptions'!C23</f>
        <v>0.01</v>
      </c>
      <c r="E23" s="153" t="s">
        <v>52</v>
      </c>
      <c r="F23" s="148"/>
      <c r="G23" s="397">
        <f>IFERROR((LEFT(E23,1)*D23/'04. Job Descriptions'!K23)*100,0)</f>
        <v>0.8</v>
      </c>
      <c r="H23" s="145" t="str">
        <f>IFERROR(HLOOKUP($H$3,'04. Job Descriptions'!$B$4:$J$35,20,0),"NA")</f>
        <v>4: Advanced</v>
      </c>
      <c r="I23" s="397">
        <f>IFERROR(HLOOKUP($H$3,'04. Job Descriptions'!$M$3:$R$35,21,0),"NA")</f>
        <v>0.8</v>
      </c>
      <c r="J23" s="425"/>
      <c r="K23" s="145" t="str">
        <f>IFERROR(HLOOKUP($K$3,'04. Job Descriptions'!$B$4:$J$35,20,0),"NA")</f>
        <v>4: Advanced</v>
      </c>
      <c r="L23" s="397">
        <f>IFERROR(HLOOKUP($K$3,'04. Job Descriptions'!$M$3:$R$35,21,0),"NA")</f>
        <v>0.8</v>
      </c>
      <c r="M23" s="150" t="str">
        <f t="shared" si="1"/>
        <v>No</v>
      </c>
      <c r="N23" s="154"/>
      <c r="O23" s="152"/>
      <c r="P23" s="20"/>
      <c r="Q23" s="20"/>
      <c r="R23" s="20"/>
      <c r="S23" s="20"/>
      <c r="T23" s="20"/>
      <c r="U23" s="20"/>
      <c r="V23" s="20"/>
      <c r="W23" s="20"/>
      <c r="X23" s="20"/>
      <c r="Y23" s="20"/>
      <c r="Z23" s="20"/>
      <c r="AA23" s="20"/>
    </row>
    <row r="24" spans="1:27" s="10" customFormat="1" ht="58.95" customHeight="1">
      <c r="B24" s="145" t="str">
        <f>'04. Job Descriptions'!B24</f>
        <v>Business Analysis Tools</v>
      </c>
      <c r="C24" s="97" t="str">
        <f>'04. Job Descriptions'!D24</f>
        <v>- Business Analysis Tools
- UI/UX Design Tools
- Architecture Design Tools
- Communication Tools</v>
      </c>
      <c r="D24" s="146">
        <f>'04. Job Descriptions'!C24</f>
        <v>0.02</v>
      </c>
      <c r="E24" s="153" t="s">
        <v>52</v>
      </c>
      <c r="F24" s="148"/>
      <c r="G24" s="397">
        <f>IFERROR((LEFT(E24,1)*D24/'04. Job Descriptions'!K24)*100,0)</f>
        <v>1.6</v>
      </c>
      <c r="H24" s="145" t="str">
        <f>IFERROR(HLOOKUP($H$3,'04. Job Descriptions'!$B$4:$J$35,21,0),"NA")</f>
        <v>4: Advanced</v>
      </c>
      <c r="I24" s="397">
        <f>IFERROR(HLOOKUP($H$3,'04. Job Descriptions'!$M$3:$R$35,22,0),"NA")</f>
        <v>1.6</v>
      </c>
      <c r="J24" s="425"/>
      <c r="K24" s="145" t="str">
        <f>IFERROR(HLOOKUP($K$3,'04. Job Descriptions'!$B$4:$J$35,21,0),"NA")</f>
        <v>4: Advanced</v>
      </c>
      <c r="L24" s="397">
        <f>IFERROR(HLOOKUP($K$3,'04. Job Descriptions'!$M$3:$R$35,22,0),"NA")</f>
        <v>1.6</v>
      </c>
      <c r="M24" s="150" t="str">
        <f t="shared" si="1"/>
        <v>No</v>
      </c>
      <c r="N24" s="154"/>
      <c r="O24" s="152"/>
      <c r="P24" s="20"/>
      <c r="Q24" s="20"/>
      <c r="R24" s="20"/>
      <c r="S24" s="20"/>
      <c r="T24" s="20"/>
      <c r="U24" s="20"/>
      <c r="V24" s="20"/>
      <c r="W24" s="20"/>
      <c r="X24" s="20"/>
      <c r="Y24" s="20"/>
      <c r="Z24" s="20"/>
      <c r="AA24" s="20"/>
    </row>
    <row r="25" spans="1:27" ht="28.5" customHeight="1">
      <c r="B25" s="137" t="str">
        <f>'04. Job Descriptions'!B25</f>
        <v>Foreign Language &amp; Certificates</v>
      </c>
      <c r="C25" s="292" t="str">
        <f>'04. Job Descriptions'!D25</f>
        <v>FSOFTER may have one or more of the following Foreign Language/Technical qualifications to perform assigned tasks</v>
      </c>
      <c r="D25" s="138">
        <f>'04. Job Descriptions'!C25</f>
        <v>0.1</v>
      </c>
      <c r="E25" s="155"/>
      <c r="F25" s="155"/>
      <c r="G25" s="396">
        <f>SUM(G26:G29)</f>
        <v>8.6666666666666661</v>
      </c>
      <c r="H25" s="167"/>
      <c r="I25" s="398">
        <f>SUM(I26:I29)</f>
        <v>8.6666666666666661</v>
      </c>
      <c r="J25" s="426"/>
      <c r="K25" s="167"/>
      <c r="L25" s="398">
        <f>SUM(L26:L29)</f>
        <v>8.6666666666666661</v>
      </c>
      <c r="M25" s="143"/>
      <c r="N25" s="144"/>
      <c r="O25" s="144"/>
    </row>
    <row r="26" spans="1:27" s="249" customFormat="1" ht="55.2">
      <c r="B26" s="145" t="str">
        <f>'04. Job Descriptions'!B26</f>
        <v>Foreign Language</v>
      </c>
      <c r="C26" s="96" t="str">
        <f>'04. Job Descriptions'!D26</f>
        <v>- Language Proficiency: English, Japanese, Korean, Chinese, Germany, French, Thailand</v>
      </c>
      <c r="D26" s="146">
        <f>'04. Job Descriptions'!C26</f>
        <v>0.05</v>
      </c>
      <c r="E26" s="153" t="s">
        <v>506</v>
      </c>
      <c r="F26" s="250"/>
      <c r="G26" s="397">
        <f>IFERROR((LEFT(E26,1)*D26/'04. Job Descriptions'!K26)*100,0)</f>
        <v>5</v>
      </c>
      <c r="H26" s="145" t="str">
        <f>IFERROR(HLOOKUP($H$3,'04. Job Descriptions'!$B$4:$J$35,23,0),"NA")</f>
        <v>5: TOEIC 701-800, TOELF iBT 71-80, IELTS 6.6-7.5, CEFR B2+, JP N3+ or equivalent</v>
      </c>
      <c r="I26" s="397">
        <f>IFERROR(HLOOKUP($H$3,'04. Job Descriptions'!$M$3:$R$35,24,0),"NA")</f>
        <v>5</v>
      </c>
      <c r="J26" s="425"/>
      <c r="K26" s="145" t="str">
        <f>IFERROR(HLOOKUP($K$3,'04. Job Descriptions'!$B$4:$J$35,23,0),"NA")</f>
        <v>5: TOEIC 701-800, TOELF iBT 71-80, IELTS 6.6-7.5, CEFR B2+, JP N3+ or equivalent</v>
      </c>
      <c r="L26" s="397">
        <f>IFERROR(HLOOKUP($K$3,'04. Job Descriptions'!$M$3:$R$35,24,0),"NA")</f>
        <v>5</v>
      </c>
      <c r="M26" s="150" t="str">
        <f>IF(G26&lt;L26,"Yes","No")</f>
        <v>No</v>
      </c>
      <c r="N26" s="251"/>
      <c r="O26" s="252"/>
      <c r="P26" s="253"/>
      <c r="Q26" s="253"/>
      <c r="R26" s="253"/>
      <c r="S26" s="253"/>
      <c r="T26" s="253"/>
      <c r="U26" s="253"/>
      <c r="V26" s="253"/>
      <c r="W26" s="253"/>
      <c r="X26" s="253"/>
      <c r="Y26" s="253"/>
      <c r="Z26" s="253"/>
      <c r="AA26" s="253"/>
    </row>
    <row r="27" spans="1:27" s="249" customFormat="1" ht="69.45" customHeight="1">
      <c r="B27" s="145" t="str">
        <f>'04. Job Descriptions'!B27</f>
        <v>Education Background</v>
      </c>
      <c r="C27" s="96" t="str">
        <f>'04. Job Descriptions'!D27</f>
        <v>Required one of degree in Engineering and Non-Engineering: 
- Engineering: Computer Science | Information Technology | Computer Engineering | Software Engineering, ...
- Non-Engineering: Economics, Finances, Administrations, Social Science, Supply Chain, Logistics, ...</v>
      </c>
      <c r="D27" s="146">
        <f>'04. Job Descriptions'!C27</f>
        <v>0.02</v>
      </c>
      <c r="E27" s="153" t="s">
        <v>370</v>
      </c>
      <c r="F27" s="250"/>
      <c r="G27" s="397">
        <f>IFERROR((LEFT(E27,1)*D27/'04. Job Descriptions'!K27)*100,0)</f>
        <v>2</v>
      </c>
      <c r="H27" s="145" t="str">
        <f>IFERROR(HLOOKUP($H$3,'04. Job Descriptions'!$B$4:$J$35,24,0),"NA")</f>
        <v>3-Bachelor Degree / Post-Baccalaureate Certificate</v>
      </c>
      <c r="I27" s="397">
        <f>IFERROR(HLOOKUP($H$3,'04. Job Descriptions'!$M$3:$R$35,25,0),"NA")</f>
        <v>2</v>
      </c>
      <c r="J27" s="425"/>
      <c r="K27" s="145" t="str">
        <f>IFERROR(HLOOKUP($K$3,'04. Job Descriptions'!$B$4:$J$35,24,0),"NA")</f>
        <v>3-Bachelor Degree / Post-Baccalaureate Certificate</v>
      </c>
      <c r="L27" s="397">
        <f>IFERROR(HLOOKUP($K$3,'04. Job Descriptions'!$M$3:$R$35,25,0),"NA")</f>
        <v>2</v>
      </c>
      <c r="M27" s="150" t="str">
        <f>IF(G27&lt;L27,"Yes","No")</f>
        <v>No</v>
      </c>
      <c r="N27" s="251"/>
      <c r="O27" s="252"/>
      <c r="P27" s="253"/>
      <c r="Q27" s="253"/>
      <c r="R27" s="253"/>
      <c r="S27" s="253"/>
      <c r="T27" s="253"/>
      <c r="U27" s="253"/>
      <c r="V27" s="253"/>
      <c r="W27" s="253"/>
      <c r="X27" s="253"/>
      <c r="Y27" s="253"/>
      <c r="Z27" s="253"/>
      <c r="AA27" s="253"/>
    </row>
    <row r="28" spans="1:27" s="249" customFormat="1" ht="49.5" customHeight="1">
      <c r="B28" s="145" t="str">
        <f>'04. Job Descriptions'!B28</f>
        <v>Business Analysis Certifications</v>
      </c>
      <c r="C28" s="96" t="str">
        <f>'04. Job Descriptions'!D28</f>
        <v>- Required certificates in Business Analysis: Business Analyst, Software Business Analyst</v>
      </c>
      <c r="D28" s="146">
        <f>'04. Job Descriptions'!C28</f>
        <v>0.02</v>
      </c>
      <c r="E28" s="153" t="s">
        <v>366</v>
      </c>
      <c r="F28" s="250"/>
      <c r="G28" s="397">
        <f>IFERROR((LEFT(E28,1)*D28/'04. Job Descriptions'!K28)*100,0)</f>
        <v>1</v>
      </c>
      <c r="H28" s="145" t="str">
        <f>IFERROR(HLOOKUP($H$3,'04. Job Descriptions'!$B$4:$J$35,25,0),"NA")</f>
        <v>2: Certified Business Analyst Advance or Equivalent</v>
      </c>
      <c r="I28" s="397">
        <f>IFERROR(HLOOKUP($H$3,'04. Job Descriptions'!$M$3:$R$35,26,0),"NA")</f>
        <v>1</v>
      </c>
      <c r="J28" s="425"/>
      <c r="K28" s="145" t="str">
        <f>IFERROR(HLOOKUP($K$3,'04. Job Descriptions'!$B$4:$J$35,25,0),"NA")</f>
        <v>2: Certified Business Analyst Advance or Equivalent</v>
      </c>
      <c r="L28" s="397">
        <f>IFERROR(HLOOKUP($K$3,'04. Job Descriptions'!$M$3:$R$35,26,0),"NA")</f>
        <v>1</v>
      </c>
      <c r="M28" s="150" t="str">
        <f>IF(G28&lt;L28,"Yes","No")</f>
        <v>No</v>
      </c>
      <c r="N28" s="251"/>
      <c r="O28" s="252"/>
      <c r="P28" s="253"/>
      <c r="Q28" s="253"/>
      <c r="R28" s="253"/>
      <c r="S28" s="253"/>
      <c r="T28" s="253"/>
      <c r="U28" s="253"/>
      <c r="V28" s="253"/>
      <c r="W28" s="253"/>
      <c r="X28" s="253"/>
      <c r="Y28" s="253"/>
      <c r="Z28" s="253"/>
      <c r="AA28" s="253"/>
    </row>
    <row r="29" spans="1:27" s="249" customFormat="1" ht="49.8" customHeight="1">
      <c r="B29" s="145" t="str">
        <f>'04. Job Descriptions'!B29</f>
        <v>Individual Learning in Year</v>
      </c>
      <c r="C29" s="96" t="str">
        <f>'04. Job Descriptions'!D29</f>
        <v>- Joined the training courses of any FSOFT program (upskilling, reskilling, fasttrack, internal training) related to Business Analysis in year (ranking year)</v>
      </c>
      <c r="D29" s="146">
        <f>'04. Job Descriptions'!C29</f>
        <v>0.01</v>
      </c>
      <c r="E29" s="153" t="s">
        <v>91</v>
      </c>
      <c r="F29" s="250"/>
      <c r="G29" s="397">
        <f>IFERROR((LEFT(E29,1)*D29/'04. Job Descriptions'!K29)*100,0)</f>
        <v>0.66666666666666674</v>
      </c>
      <c r="H29" s="145" t="str">
        <f>IFERROR(HLOOKUP($H$3,'04. Job Descriptions'!$B$4:$J$35,26,0),"NA")</f>
        <v>2: Join &gt;=3 training or workshop</v>
      </c>
      <c r="I29" s="397">
        <f>IFERROR(HLOOKUP($H$3,'04. Job Descriptions'!$M$3:$R$35,27,0),"NA")</f>
        <v>0.66666666666666674</v>
      </c>
      <c r="J29" s="425"/>
      <c r="K29" s="145" t="str">
        <f>IFERROR(HLOOKUP($K$3,'04. Job Descriptions'!$B$4:$J$35,26,0),"NA")</f>
        <v>2: Join &gt;=3 training or workshop</v>
      </c>
      <c r="L29" s="397">
        <f>IFERROR(HLOOKUP($K$3,'04. Job Descriptions'!$M$3:$R$35,27,0),"NA")</f>
        <v>0.66666666666666674</v>
      </c>
      <c r="M29" s="150" t="str">
        <f>IF(G29&lt;L29,"Yes","No")</f>
        <v>No</v>
      </c>
      <c r="N29" s="251"/>
      <c r="O29" s="252"/>
      <c r="P29" s="253"/>
      <c r="Q29" s="253"/>
      <c r="R29" s="253"/>
      <c r="S29" s="253"/>
      <c r="T29" s="253"/>
      <c r="U29" s="253"/>
      <c r="V29" s="253"/>
      <c r="W29" s="253"/>
      <c r="X29" s="253"/>
      <c r="Y29" s="253"/>
      <c r="Z29" s="253"/>
      <c r="AA29" s="253"/>
    </row>
    <row r="30" spans="1:27" ht="37.950000000000003" customHeight="1">
      <c r="B30" s="137" t="str">
        <f>'04. Job Descriptions'!B30</f>
        <v>Non-Engineering and Softskills</v>
      </c>
      <c r="C30" s="292" t="str">
        <f>'04. Job Descriptions'!D30</f>
        <v>FSOFTER is required to have one or more of the following soft skills and other skills to perform assigned tasks</v>
      </c>
      <c r="D30" s="138">
        <f>'04. Job Descriptions'!C30</f>
        <v>0.1</v>
      </c>
      <c r="E30" s="155"/>
      <c r="F30" s="155"/>
      <c r="G30" s="396">
        <f>SUM(G31:G35)</f>
        <v>6.5</v>
      </c>
      <c r="H30" s="167"/>
      <c r="I30" s="398">
        <f>SUM(I31:I35)</f>
        <v>6.5</v>
      </c>
      <c r="J30" s="426"/>
      <c r="K30" s="167"/>
      <c r="L30" s="398">
        <f>SUM(L31:L35)</f>
        <v>6.5</v>
      </c>
      <c r="M30" s="143"/>
      <c r="N30" s="144"/>
      <c r="O30" s="144"/>
    </row>
    <row r="31" spans="1:27" s="10" customFormat="1" ht="99" customHeight="1">
      <c r="B31" s="145" t="str">
        <f>'04. Job Descriptions'!B31</f>
        <v>Communication and Problem Solving</v>
      </c>
      <c r="C31" s="97" t="str">
        <f>'04. Job Descriptions'!D31</f>
        <v>- Team Work
- Leadership &amp; Motivation
- Communication
- Problem Solving
- Change Management
- Networking/ Relationship building</v>
      </c>
      <c r="D31" s="146">
        <f>'04. Job Descriptions'!C31</f>
        <v>0.03</v>
      </c>
      <c r="E31" s="153" t="s">
        <v>53</v>
      </c>
      <c r="F31" s="148"/>
      <c r="G31" s="397">
        <f>IFERROR((LEFT(E31,1)*D31/'04. Job Descriptions'!K31)*100,0)</f>
        <v>1.5</v>
      </c>
      <c r="H31" s="145" t="str">
        <f>IFERROR(HLOOKUP($H$3,'04. Job Descriptions'!$B$4:$J$35,28,0),"NA")</f>
        <v>2: Limited Experience</v>
      </c>
      <c r="I31" s="397">
        <f>IFERROR(HLOOKUP($H$3,'04. Job Descriptions'!$M$3:$R$35,29,0),"NA")</f>
        <v>1.5</v>
      </c>
      <c r="J31" s="425"/>
      <c r="K31" s="145" t="str">
        <f>IFERROR(HLOOKUP($K$3,'04. Job Descriptions'!$B$4:$J$35,28,0),"NA")</f>
        <v>2: Limited Experience</v>
      </c>
      <c r="L31" s="397">
        <f>IFERROR(HLOOKUP($K$3,'04. Job Descriptions'!$M$3:$R$35,29,0),"NA")</f>
        <v>1.5</v>
      </c>
      <c r="M31" s="150" t="str">
        <f>IF(G31&lt;L31,"Yes","No")</f>
        <v>No</v>
      </c>
      <c r="N31" s="154"/>
      <c r="O31" s="152"/>
      <c r="P31" s="20"/>
      <c r="Q31" s="20"/>
      <c r="R31" s="20"/>
      <c r="S31" s="20"/>
      <c r="T31" s="20"/>
      <c r="U31" s="20"/>
      <c r="V31" s="20"/>
      <c r="W31" s="20"/>
      <c r="X31" s="20"/>
      <c r="Y31" s="20"/>
      <c r="Z31" s="20"/>
      <c r="AA31" s="20"/>
    </row>
    <row r="32" spans="1:27" s="10" customFormat="1" ht="94.8" customHeight="1">
      <c r="B32" s="145" t="str">
        <f>'04. Job Descriptions'!B32</f>
        <v>Analytical and Critical Thinking</v>
      </c>
      <c r="C32" s="97" t="str">
        <f>'04. Job Descriptions'!D32</f>
        <v>- Research
- Forecasting
- Data mining
- Data and metrics interpreting
- Reporting
- Organization</v>
      </c>
      <c r="D32" s="146">
        <f>'04. Job Descriptions'!C32</f>
        <v>0.02</v>
      </c>
      <c r="E32" s="153" t="s">
        <v>51</v>
      </c>
      <c r="F32" s="148"/>
      <c r="G32" s="397">
        <f>IFERROR((LEFT(E32,1)*D32/'04. Job Descriptions'!K32)*100,0)</f>
        <v>1.5</v>
      </c>
      <c r="H32" s="145" t="str">
        <f>IFERROR(HLOOKUP($H$3,'04. Job Descriptions'!$B$4:$J$35,29,0),"NA")</f>
        <v>3: Intermediate</v>
      </c>
      <c r="I32" s="397">
        <f>IFERROR(HLOOKUP($H$3,'04. Job Descriptions'!$M$3:$R$35,30,0),"NA")</f>
        <v>1.5</v>
      </c>
      <c r="J32" s="425"/>
      <c r="K32" s="145" t="str">
        <f>IFERROR(HLOOKUP($K$3,'04. Job Descriptions'!$B$4:$J$35,29,0),"NA")</f>
        <v>3: Intermediate</v>
      </c>
      <c r="L32" s="397">
        <f>IFERROR(HLOOKUP($K$3,'04. Job Descriptions'!$M$3:$R$35,30,0),"NA")</f>
        <v>1.5</v>
      </c>
      <c r="M32" s="150" t="str">
        <f>IF(G32&lt;L32,"Yes","No")</f>
        <v>No</v>
      </c>
      <c r="N32" s="154"/>
      <c r="O32" s="152"/>
      <c r="P32" s="20"/>
      <c r="Q32" s="20"/>
      <c r="R32" s="20"/>
      <c r="S32" s="20"/>
      <c r="T32" s="20"/>
      <c r="U32" s="20"/>
      <c r="V32" s="20"/>
      <c r="W32" s="20"/>
      <c r="X32" s="20"/>
      <c r="Y32" s="20"/>
      <c r="Z32" s="20"/>
      <c r="AA32" s="20"/>
    </row>
    <row r="33" spans="2:27" s="10" customFormat="1" ht="109.2" customHeight="1">
      <c r="B33" s="145" t="str">
        <f>'04. Job Descriptions'!B33</f>
        <v>Organization and Industry Knowledge</v>
      </c>
      <c r="C33" s="97" t="str">
        <f>'04. Job Descriptions'!D33</f>
        <v>- Agile Mindset
- Process Understanding
- Product Understanding
- Market trends &amp; Challenges
- Market drivers
- Customer Segmentation Understanding
- Organization Knowledge</v>
      </c>
      <c r="D33" s="146">
        <f>'04. Job Descriptions'!C33</f>
        <v>0.02</v>
      </c>
      <c r="E33" s="153" t="s">
        <v>51</v>
      </c>
      <c r="F33" s="148"/>
      <c r="G33" s="397">
        <f>IFERROR((LEFT(E33,1)*D33/'04. Job Descriptions'!K33)*100,0)</f>
        <v>1.5</v>
      </c>
      <c r="H33" s="145" t="str">
        <f>IFERROR(HLOOKUP($H$3,'04. Job Descriptions'!$B$4:$J$35,30,0),"NA")</f>
        <v>3: Intermediate</v>
      </c>
      <c r="I33" s="397">
        <f>IFERROR(HLOOKUP($H$3,'04. Job Descriptions'!$M$3:$R$35,31,0),"NA")</f>
        <v>1.5</v>
      </c>
      <c r="J33" s="425"/>
      <c r="K33" s="145" t="str">
        <f>IFERROR(HLOOKUP($K$3,'04. Job Descriptions'!$B$4:$J$35,30,0),"NA")</f>
        <v>3: Intermediate</v>
      </c>
      <c r="L33" s="397">
        <f>IFERROR(HLOOKUP($K$3,'04. Job Descriptions'!$M$3:$R$35,31,0),"NA")</f>
        <v>1.5</v>
      </c>
      <c r="M33" s="150" t="str">
        <f>IF(G33&lt;L33,"Yes","No")</f>
        <v>No</v>
      </c>
      <c r="N33" s="154"/>
      <c r="O33" s="152"/>
      <c r="P33" s="20"/>
      <c r="Q33" s="20"/>
      <c r="R33" s="20"/>
      <c r="S33" s="20"/>
      <c r="T33" s="20"/>
      <c r="U33" s="20"/>
      <c r="V33" s="20"/>
      <c r="W33" s="20"/>
      <c r="X33" s="20"/>
      <c r="Y33" s="20"/>
      <c r="Z33" s="20"/>
      <c r="AA33" s="20"/>
    </row>
    <row r="34" spans="2:27" s="10" customFormat="1" ht="129" customHeight="1">
      <c r="B34" s="145" t="str">
        <f>'04. Job Descriptions'!B34</f>
        <v>Project Risk Management</v>
      </c>
      <c r="C34" s="97" t="str">
        <f>'04. Job Descriptions'!D34</f>
        <v>- Understand and utilize process of implementing risk response plans
- Tracking identified risks, monitoring residual risks, identifying new risks
- Evaluating risk process effectiveness throughout the project.
- Forecast risk that may occur in range of project that the team is responsible for.
- Analyze and perform preventitive actions to reduce risks raised by members.
- In the case that risks cannot be closed, raise the risk to leader/mamager and discuss with leader/manger to find out preventitive actions then follow up. (the risk in Methodology is the risk of Business solution. the risk mentioned in this sheet derives from project activities, especially in oursourcing project.)</v>
      </c>
      <c r="D34" s="146">
        <f>'04. Job Descriptions'!C34</f>
        <v>0.02</v>
      </c>
      <c r="E34" s="153" t="s">
        <v>51</v>
      </c>
      <c r="F34" s="148"/>
      <c r="G34" s="397">
        <f>IFERROR((LEFT(E34,1)*D34/'04. Job Descriptions'!K34)*100,0)</f>
        <v>1.5</v>
      </c>
      <c r="H34" s="145" t="str">
        <f>IFERROR(HLOOKUP($H$3,'04. Job Descriptions'!$B$4:$J$35,31,0),"NA")</f>
        <v>3: Intermediate</v>
      </c>
      <c r="I34" s="397">
        <f>IFERROR(HLOOKUP($H$3,'04. Job Descriptions'!$M$3:$R$35,32,0),"NA")</f>
        <v>1.5</v>
      </c>
      <c r="J34" s="425"/>
      <c r="K34" s="145" t="str">
        <f>IFERROR(HLOOKUP($K$3,'04. Job Descriptions'!$B$4:$J$35,31,0),"NA")</f>
        <v>3: Intermediate</v>
      </c>
      <c r="L34" s="397">
        <f>IFERROR(HLOOKUP($K$3,'04. Job Descriptions'!$M$3:$R$35,32,0),"NA")</f>
        <v>1.5</v>
      </c>
      <c r="M34" s="150" t="str">
        <f>IF(G34&lt;L34,"Yes","No")</f>
        <v>No</v>
      </c>
      <c r="N34" s="154"/>
      <c r="O34" s="152"/>
      <c r="P34" s="20"/>
      <c r="Q34" s="20"/>
      <c r="R34" s="20"/>
      <c r="S34" s="20"/>
      <c r="T34" s="20"/>
      <c r="U34" s="20"/>
      <c r="V34" s="20"/>
      <c r="W34" s="20"/>
      <c r="X34" s="20"/>
      <c r="Y34" s="20"/>
      <c r="Z34" s="20"/>
      <c r="AA34" s="20"/>
    </row>
    <row r="35" spans="2:27" s="10" customFormat="1" ht="84" customHeight="1">
      <c r="B35" s="145" t="str">
        <f>'04. Job Descriptions'!B35</f>
        <v>Project Human Resource Management</v>
      </c>
      <c r="C35" s="97" t="str">
        <f>'04. Job Descriptions'!D35</f>
        <v>- Understand the ability of each BA to assign appropriate projects/tasks.
- Understand project request for BA service to determine proper resource plan.
- Regularly control BA allocation to optimize resource.
- Monitor and control progress and status of BA involvement in each and every project; detect, resolve and followup to close any issue arising. 
- Evaluate performance, identify strengths as well as improvement points and propose career path for each BA</v>
      </c>
      <c r="D35" s="146">
        <f>'04. Job Descriptions'!C35</f>
        <v>0.01</v>
      </c>
      <c r="E35" s="153" t="s">
        <v>53</v>
      </c>
      <c r="F35" s="148"/>
      <c r="G35" s="397">
        <f>IFERROR((LEFT(E35,1)*D35/'04. Job Descriptions'!K35)*100,0)</f>
        <v>0.5</v>
      </c>
      <c r="H35" s="145" t="str">
        <f>IFERROR(HLOOKUP($H$3,'04. Job Descriptions'!$B$4:$J$35,32,0),"NA")</f>
        <v>2: Limited Experience</v>
      </c>
      <c r="I35" s="397">
        <f>IFERROR(HLOOKUP($H$3,'04. Job Descriptions'!$M$3:$R$35,33,0),"NA")</f>
        <v>0.5</v>
      </c>
      <c r="J35" s="425"/>
      <c r="K35" s="145" t="str">
        <f>IFERROR(HLOOKUP($K$3,'04. Job Descriptions'!$B$4:$J$35,32,0),"NA")</f>
        <v>2: Limited Experience</v>
      </c>
      <c r="L35" s="397">
        <f>IFERROR(HLOOKUP($K$3,'04. Job Descriptions'!$M$3:$R$35,33,0),"NA")</f>
        <v>0.5</v>
      </c>
      <c r="M35" s="150" t="str">
        <f>IF(G35&lt;L35,"Yes","No")</f>
        <v>No</v>
      </c>
      <c r="N35" s="154"/>
      <c r="O35" s="152"/>
      <c r="P35" s="20"/>
      <c r="Q35" s="20"/>
      <c r="R35" s="20"/>
      <c r="S35" s="20"/>
      <c r="T35" s="20"/>
      <c r="U35" s="20"/>
      <c r="V35" s="20"/>
      <c r="W35" s="20"/>
      <c r="X35" s="20"/>
      <c r="Y35" s="20"/>
      <c r="Z35" s="20"/>
      <c r="AA35" s="20"/>
    </row>
    <row r="36" spans="2:27" s="16" customFormat="1">
      <c r="B36" s="38"/>
      <c r="C36" s="38"/>
      <c r="D36" s="11"/>
      <c r="F36" s="22"/>
      <c r="G36" s="21"/>
      <c r="H36" s="21"/>
      <c r="I36" s="21"/>
      <c r="J36" s="21"/>
      <c r="K36" s="42"/>
      <c r="L36" s="11"/>
      <c r="M36" s="11"/>
      <c r="N36" s="26"/>
    </row>
    <row r="37" spans="2:27" s="16" customFormat="1">
      <c r="B37" s="38"/>
      <c r="C37" s="38"/>
      <c r="D37" s="11"/>
      <c r="F37" s="22"/>
      <c r="G37" s="21"/>
      <c r="H37" s="21"/>
      <c r="I37" s="21"/>
      <c r="J37" s="21"/>
      <c r="K37" s="42"/>
      <c r="L37" s="11"/>
      <c r="M37" s="11"/>
      <c r="N37" s="26"/>
    </row>
    <row r="38" spans="2:27" s="16" customFormat="1">
      <c r="B38" s="38"/>
      <c r="C38" s="38"/>
      <c r="D38" s="11"/>
      <c r="F38" s="22"/>
      <c r="G38" s="21"/>
      <c r="H38" s="21"/>
      <c r="I38" s="21"/>
      <c r="J38" s="21"/>
      <c r="K38" s="42"/>
      <c r="L38" s="11"/>
      <c r="M38" s="11"/>
      <c r="N38" s="26"/>
    </row>
    <row r="39" spans="2:27" s="16" customFormat="1">
      <c r="B39" s="38"/>
      <c r="C39" s="38"/>
      <c r="D39" s="11"/>
      <c r="F39" s="22"/>
      <c r="G39" s="21"/>
      <c r="H39" s="21"/>
      <c r="I39" s="21"/>
      <c r="J39" s="21"/>
      <c r="K39" s="42"/>
      <c r="L39" s="11"/>
      <c r="M39" s="11"/>
      <c r="N39" s="26"/>
    </row>
    <row r="40" spans="2:27" s="16" customFormat="1">
      <c r="B40" s="38"/>
      <c r="C40" s="38"/>
      <c r="D40" s="11"/>
      <c r="F40" s="22"/>
      <c r="G40" s="21"/>
      <c r="H40" s="21"/>
      <c r="I40" s="21"/>
      <c r="J40" s="21"/>
      <c r="K40" s="42"/>
      <c r="L40" s="11"/>
      <c r="M40" s="11"/>
      <c r="N40" s="26"/>
    </row>
    <row r="41" spans="2:27" s="16" customFormat="1">
      <c r="B41" s="38"/>
      <c r="C41" s="38"/>
      <c r="D41" s="11"/>
      <c r="F41" s="22"/>
      <c r="G41" s="21"/>
      <c r="H41" s="21"/>
      <c r="I41" s="21"/>
      <c r="J41" s="21"/>
      <c r="K41" s="42"/>
      <c r="L41" s="11"/>
      <c r="M41" s="11"/>
      <c r="N41" s="26"/>
    </row>
    <row r="42" spans="2:27" s="16" customFormat="1">
      <c r="B42" s="38"/>
      <c r="C42" s="38"/>
      <c r="D42" s="11"/>
      <c r="F42" s="22"/>
      <c r="G42" s="21"/>
      <c r="H42" s="21"/>
      <c r="I42" s="21"/>
      <c r="J42" s="21"/>
      <c r="K42" s="42"/>
      <c r="L42" s="11"/>
      <c r="M42" s="11"/>
      <c r="N42" s="26"/>
    </row>
    <row r="43" spans="2:27" s="16" customFormat="1">
      <c r="B43" s="38"/>
      <c r="C43" s="38"/>
      <c r="D43" s="11"/>
      <c r="F43" s="22"/>
      <c r="G43" s="21"/>
      <c r="H43" s="21"/>
      <c r="I43" s="21"/>
      <c r="J43" s="21"/>
      <c r="K43" s="42"/>
      <c r="L43" s="11"/>
      <c r="M43" s="11"/>
      <c r="N43" s="26"/>
    </row>
    <row r="44" spans="2:27" s="16" customFormat="1">
      <c r="B44" s="38"/>
      <c r="C44" s="38"/>
      <c r="D44" s="11"/>
      <c r="F44" s="22"/>
      <c r="G44" s="21"/>
      <c r="H44" s="21"/>
      <c r="I44" s="21"/>
      <c r="J44" s="21"/>
      <c r="K44" s="42"/>
      <c r="L44" s="11"/>
      <c r="M44" s="11"/>
      <c r="N44" s="26"/>
    </row>
    <row r="45" spans="2:27" s="16" customFormat="1">
      <c r="B45" s="38"/>
      <c r="C45" s="38"/>
      <c r="D45" s="11"/>
      <c r="F45" s="22"/>
      <c r="G45" s="21"/>
      <c r="H45" s="21"/>
      <c r="I45" s="21"/>
      <c r="J45" s="21"/>
      <c r="K45" s="42"/>
      <c r="L45" s="11"/>
      <c r="M45" s="11"/>
      <c r="N45" s="26"/>
    </row>
    <row r="46" spans="2:27" s="16" customFormat="1">
      <c r="B46" s="38"/>
      <c r="C46" s="38"/>
      <c r="D46" s="11"/>
      <c r="F46" s="22"/>
      <c r="G46" s="21"/>
      <c r="H46" s="21"/>
      <c r="I46" s="21"/>
      <c r="J46" s="21"/>
      <c r="K46" s="42"/>
      <c r="L46" s="11"/>
      <c r="M46" s="11"/>
      <c r="N46" s="26"/>
    </row>
    <row r="47" spans="2:27" s="16" customFormat="1">
      <c r="B47" s="38"/>
      <c r="C47" s="38"/>
      <c r="D47" s="11"/>
      <c r="F47" s="22"/>
      <c r="G47" s="21"/>
      <c r="H47" s="21"/>
      <c r="I47" s="21"/>
      <c r="J47" s="21"/>
      <c r="K47" s="42"/>
      <c r="L47" s="11"/>
      <c r="M47" s="11"/>
      <c r="N47" s="26"/>
    </row>
    <row r="48" spans="2:27" s="16" customFormat="1">
      <c r="B48" s="38"/>
      <c r="C48" s="38"/>
      <c r="D48" s="11"/>
      <c r="F48" s="22"/>
      <c r="G48" s="21"/>
      <c r="H48" s="21"/>
      <c r="I48" s="21"/>
      <c r="J48" s="21"/>
      <c r="K48" s="42"/>
      <c r="L48" s="11"/>
      <c r="M48" s="11"/>
      <c r="N48" s="26"/>
    </row>
    <row r="49" spans="2:14" s="16" customFormat="1">
      <c r="B49" s="38"/>
      <c r="C49" s="38"/>
      <c r="D49" s="11"/>
      <c r="F49" s="22"/>
      <c r="G49" s="21"/>
      <c r="H49" s="21"/>
      <c r="I49" s="21"/>
      <c r="J49" s="21"/>
      <c r="K49" s="42"/>
      <c r="L49" s="11"/>
      <c r="M49" s="11"/>
      <c r="N49" s="26"/>
    </row>
    <row r="50" spans="2:14" s="16" customFormat="1">
      <c r="B50" s="38"/>
      <c r="C50" s="38"/>
      <c r="D50" s="11"/>
      <c r="F50" s="22"/>
      <c r="G50" s="21"/>
      <c r="H50" s="21"/>
      <c r="I50" s="21"/>
      <c r="J50" s="21"/>
      <c r="K50" s="42"/>
      <c r="L50" s="11"/>
      <c r="M50" s="11"/>
      <c r="N50" s="26"/>
    </row>
    <row r="51" spans="2:14" s="16" customFormat="1">
      <c r="B51" s="38"/>
      <c r="C51" s="38"/>
      <c r="D51" s="11"/>
      <c r="F51" s="22"/>
      <c r="G51" s="21"/>
      <c r="H51" s="21"/>
      <c r="I51" s="21"/>
      <c r="J51" s="21"/>
      <c r="K51" s="42"/>
      <c r="L51" s="11"/>
      <c r="M51" s="11"/>
      <c r="N51" s="26"/>
    </row>
    <row r="52" spans="2:14" s="16" customFormat="1">
      <c r="B52" s="38"/>
      <c r="C52" s="38"/>
      <c r="D52" s="11"/>
      <c r="F52" s="22"/>
      <c r="G52" s="21"/>
      <c r="H52" s="21"/>
      <c r="I52" s="21"/>
      <c r="J52" s="21"/>
      <c r="K52" s="42"/>
      <c r="L52" s="11"/>
      <c r="M52" s="11"/>
      <c r="N52" s="26"/>
    </row>
    <row r="53" spans="2:14" s="16" customFormat="1">
      <c r="B53" s="38"/>
      <c r="C53" s="38"/>
      <c r="D53" s="11"/>
      <c r="F53" s="22"/>
      <c r="G53" s="21"/>
      <c r="H53" s="21"/>
      <c r="I53" s="21"/>
      <c r="J53" s="21"/>
      <c r="K53" s="42"/>
      <c r="L53" s="11"/>
      <c r="M53" s="11"/>
      <c r="N53" s="26"/>
    </row>
    <row r="54" spans="2:14" s="16" customFormat="1">
      <c r="B54" s="38"/>
      <c r="C54" s="38"/>
      <c r="D54" s="11"/>
      <c r="F54" s="22"/>
      <c r="G54" s="21"/>
      <c r="H54" s="21"/>
      <c r="I54" s="21"/>
      <c r="J54" s="21"/>
      <c r="K54" s="42"/>
      <c r="L54" s="11"/>
      <c r="M54" s="11"/>
      <c r="N54" s="26"/>
    </row>
    <row r="55" spans="2:14" s="16" customFormat="1">
      <c r="B55" s="38"/>
      <c r="C55" s="38"/>
      <c r="D55" s="11"/>
      <c r="F55" s="22"/>
      <c r="G55" s="21"/>
      <c r="H55" s="21"/>
      <c r="I55" s="21"/>
      <c r="J55" s="21"/>
      <c r="K55" s="42"/>
      <c r="L55" s="11"/>
      <c r="M55" s="11"/>
      <c r="N55" s="26"/>
    </row>
    <row r="56" spans="2:14" s="16" customFormat="1">
      <c r="B56" s="38"/>
      <c r="C56" s="38"/>
      <c r="D56" s="11"/>
      <c r="F56" s="22"/>
      <c r="G56" s="21"/>
      <c r="H56" s="21"/>
      <c r="I56" s="21"/>
      <c r="J56" s="21"/>
      <c r="K56" s="42"/>
      <c r="L56" s="11"/>
      <c r="M56" s="11"/>
      <c r="N56" s="26"/>
    </row>
    <row r="57" spans="2:14" s="16" customFormat="1">
      <c r="B57" s="38"/>
      <c r="C57" s="38"/>
      <c r="D57" s="11"/>
      <c r="F57" s="22"/>
      <c r="G57" s="21"/>
      <c r="H57" s="21"/>
      <c r="I57" s="21"/>
      <c r="J57" s="21"/>
      <c r="K57" s="42"/>
      <c r="L57" s="11"/>
      <c r="M57" s="11"/>
      <c r="N57" s="26"/>
    </row>
    <row r="58" spans="2:14" s="16" customFormat="1">
      <c r="B58" s="38"/>
      <c r="C58" s="38"/>
      <c r="D58" s="11"/>
      <c r="F58" s="22"/>
      <c r="G58" s="21"/>
      <c r="H58" s="21"/>
      <c r="I58" s="21"/>
      <c r="J58" s="21"/>
      <c r="K58" s="42"/>
      <c r="L58" s="11"/>
      <c r="M58" s="11"/>
      <c r="N58" s="26"/>
    </row>
    <row r="59" spans="2:14" s="16" customFormat="1">
      <c r="B59" s="38"/>
      <c r="C59" s="38"/>
      <c r="D59" s="11"/>
      <c r="F59" s="22"/>
      <c r="G59" s="21"/>
      <c r="H59" s="21"/>
      <c r="I59" s="21"/>
      <c r="J59" s="21"/>
      <c r="K59" s="42"/>
      <c r="L59" s="11"/>
      <c r="M59" s="11"/>
      <c r="N59" s="26"/>
    </row>
    <row r="60" spans="2:14" s="16" customFormat="1">
      <c r="B60" s="38"/>
      <c r="C60" s="38"/>
      <c r="D60" s="11"/>
      <c r="F60" s="22"/>
      <c r="G60" s="21"/>
      <c r="H60" s="21"/>
      <c r="I60" s="21"/>
      <c r="J60" s="21"/>
      <c r="K60" s="42"/>
      <c r="L60" s="11"/>
      <c r="M60" s="11"/>
      <c r="N60" s="26"/>
    </row>
    <row r="61" spans="2:14" s="16" customFormat="1">
      <c r="B61" s="38"/>
      <c r="C61" s="38"/>
      <c r="D61" s="11"/>
      <c r="F61" s="22"/>
      <c r="G61" s="21"/>
      <c r="H61" s="21"/>
      <c r="I61" s="21"/>
      <c r="J61" s="21"/>
      <c r="K61" s="42"/>
      <c r="L61" s="11"/>
      <c r="M61" s="11"/>
      <c r="N61" s="26"/>
    </row>
    <row r="62" spans="2:14" s="16" customFormat="1">
      <c r="B62" s="38"/>
      <c r="C62" s="38"/>
      <c r="D62" s="11"/>
      <c r="F62" s="22"/>
      <c r="G62" s="21"/>
      <c r="H62" s="21"/>
      <c r="I62" s="21"/>
      <c r="J62" s="21"/>
      <c r="K62" s="42"/>
      <c r="L62" s="11"/>
      <c r="M62" s="11"/>
      <c r="N62" s="26"/>
    </row>
    <row r="63" spans="2:14" s="16" customFormat="1">
      <c r="B63" s="38"/>
      <c r="C63" s="38"/>
      <c r="D63" s="11"/>
      <c r="F63" s="22"/>
      <c r="G63" s="21"/>
      <c r="H63" s="21"/>
      <c r="I63" s="21"/>
      <c r="J63" s="21"/>
      <c r="K63" s="42"/>
      <c r="L63" s="11"/>
      <c r="M63" s="11"/>
      <c r="N63" s="26"/>
    </row>
    <row r="64" spans="2:14" s="16" customFormat="1">
      <c r="B64" s="38"/>
      <c r="C64" s="38"/>
      <c r="D64" s="11"/>
      <c r="F64" s="22"/>
      <c r="G64" s="21"/>
      <c r="H64" s="21"/>
      <c r="I64" s="21"/>
      <c r="J64" s="21"/>
      <c r="K64" s="42"/>
      <c r="L64" s="11"/>
      <c r="M64" s="11"/>
      <c r="N64" s="26"/>
    </row>
    <row r="65" spans="2:14" s="16" customFormat="1">
      <c r="B65" s="38"/>
      <c r="C65" s="38"/>
      <c r="D65" s="11"/>
      <c r="F65" s="22"/>
      <c r="G65" s="21"/>
      <c r="H65" s="21"/>
      <c r="I65" s="21"/>
      <c r="J65" s="21"/>
      <c r="K65" s="42"/>
      <c r="L65" s="11"/>
      <c r="M65" s="11"/>
      <c r="N65" s="26"/>
    </row>
    <row r="66" spans="2:14" s="16" customFormat="1">
      <c r="B66" s="38"/>
      <c r="C66" s="38"/>
      <c r="D66" s="11"/>
      <c r="F66" s="22"/>
      <c r="G66" s="21"/>
      <c r="H66" s="21"/>
      <c r="I66" s="21"/>
      <c r="J66" s="21"/>
      <c r="K66" s="42"/>
      <c r="L66" s="11"/>
      <c r="M66" s="11"/>
      <c r="N66" s="26"/>
    </row>
    <row r="67" spans="2:14" s="16" customFormat="1">
      <c r="B67" s="38"/>
      <c r="C67" s="38"/>
      <c r="D67" s="11"/>
      <c r="F67" s="22"/>
      <c r="G67" s="21"/>
      <c r="H67" s="21"/>
      <c r="I67" s="21"/>
      <c r="J67" s="21"/>
      <c r="K67" s="42"/>
      <c r="L67" s="11"/>
      <c r="M67" s="11"/>
      <c r="N67" s="26"/>
    </row>
    <row r="68" spans="2:14" s="16" customFormat="1">
      <c r="B68" s="38"/>
      <c r="C68" s="38"/>
      <c r="D68" s="11"/>
      <c r="F68" s="22"/>
      <c r="G68" s="21"/>
      <c r="H68" s="21"/>
      <c r="I68" s="21"/>
      <c r="J68" s="21"/>
      <c r="K68" s="42"/>
      <c r="L68" s="11"/>
      <c r="M68" s="11"/>
      <c r="N68" s="26"/>
    </row>
    <row r="69" spans="2:14" s="16" customFormat="1">
      <c r="B69" s="38"/>
      <c r="C69" s="38"/>
      <c r="D69" s="11"/>
      <c r="F69" s="22"/>
      <c r="G69" s="21"/>
      <c r="H69" s="21"/>
      <c r="I69" s="21"/>
      <c r="J69" s="21"/>
      <c r="K69" s="42"/>
      <c r="L69" s="11"/>
      <c r="M69" s="11"/>
      <c r="N69" s="26"/>
    </row>
    <row r="70" spans="2:14" s="16" customFormat="1">
      <c r="B70" s="38"/>
      <c r="C70" s="38"/>
      <c r="D70" s="11"/>
      <c r="F70" s="22"/>
      <c r="G70" s="21"/>
      <c r="H70" s="21"/>
      <c r="I70" s="21"/>
      <c r="J70" s="21"/>
      <c r="K70" s="42"/>
      <c r="L70" s="11"/>
      <c r="M70" s="11"/>
      <c r="N70" s="26"/>
    </row>
    <row r="71" spans="2:14" s="16" customFormat="1">
      <c r="B71" s="38"/>
      <c r="C71" s="38"/>
      <c r="D71" s="11"/>
      <c r="F71" s="22"/>
      <c r="G71" s="21"/>
      <c r="H71" s="21"/>
      <c r="I71" s="21"/>
      <c r="J71" s="21"/>
      <c r="K71" s="42"/>
      <c r="L71" s="11"/>
      <c r="M71" s="11"/>
      <c r="N71" s="26"/>
    </row>
    <row r="72" spans="2:14" s="16" customFormat="1">
      <c r="B72" s="38"/>
      <c r="C72" s="38"/>
      <c r="D72" s="11"/>
      <c r="F72" s="22"/>
      <c r="G72" s="21"/>
      <c r="H72" s="21"/>
      <c r="I72" s="21"/>
      <c r="J72" s="21"/>
      <c r="K72" s="42"/>
      <c r="L72" s="11"/>
      <c r="M72" s="11"/>
      <c r="N72" s="26"/>
    </row>
    <row r="73" spans="2:14" s="16" customFormat="1">
      <c r="B73" s="38"/>
      <c r="C73" s="38"/>
      <c r="D73" s="11"/>
      <c r="F73" s="22"/>
      <c r="G73" s="21"/>
      <c r="H73" s="21"/>
      <c r="I73" s="21"/>
      <c r="J73" s="21"/>
      <c r="K73" s="42"/>
      <c r="L73" s="11"/>
      <c r="M73" s="11"/>
      <c r="N73" s="26"/>
    </row>
    <row r="74" spans="2:14" s="16" customFormat="1">
      <c r="B74" s="38"/>
      <c r="C74" s="38"/>
      <c r="D74" s="11"/>
      <c r="F74" s="22"/>
      <c r="G74" s="21"/>
      <c r="H74" s="21"/>
      <c r="I74" s="21"/>
      <c r="J74" s="21"/>
      <c r="K74" s="42"/>
      <c r="L74" s="11"/>
      <c r="M74" s="11"/>
      <c r="N74" s="26"/>
    </row>
    <row r="75" spans="2:14" s="16" customFormat="1">
      <c r="B75" s="38"/>
      <c r="C75" s="38"/>
      <c r="D75" s="11"/>
      <c r="F75" s="22"/>
      <c r="G75" s="21"/>
      <c r="H75" s="21"/>
      <c r="I75" s="21"/>
      <c r="J75" s="21"/>
      <c r="K75" s="42"/>
      <c r="L75" s="11"/>
      <c r="M75" s="11"/>
      <c r="N75" s="26"/>
    </row>
    <row r="76" spans="2:14" s="16" customFormat="1">
      <c r="B76" s="38"/>
      <c r="C76" s="38"/>
      <c r="D76" s="11"/>
      <c r="F76" s="22"/>
      <c r="G76" s="21"/>
      <c r="H76" s="21"/>
      <c r="I76" s="21"/>
      <c r="J76" s="21"/>
      <c r="K76" s="42"/>
      <c r="L76" s="11"/>
      <c r="M76" s="11"/>
      <c r="N76" s="26"/>
    </row>
    <row r="77" spans="2:14" s="16" customFormat="1">
      <c r="B77" s="38"/>
      <c r="C77" s="38"/>
      <c r="D77" s="11"/>
      <c r="F77" s="22"/>
      <c r="G77" s="21"/>
      <c r="H77" s="21"/>
      <c r="I77" s="21"/>
      <c r="J77" s="21"/>
      <c r="K77" s="42"/>
      <c r="L77" s="11"/>
      <c r="M77" s="11"/>
      <c r="N77" s="26"/>
    </row>
    <row r="78" spans="2:14" s="16" customFormat="1">
      <c r="B78" s="38"/>
      <c r="C78" s="38"/>
      <c r="D78" s="11"/>
      <c r="F78" s="22"/>
      <c r="G78" s="21"/>
      <c r="H78" s="21"/>
      <c r="I78" s="21"/>
      <c r="J78" s="21"/>
      <c r="K78" s="42"/>
      <c r="L78" s="11"/>
      <c r="M78" s="11"/>
      <c r="N78" s="26"/>
    </row>
    <row r="79" spans="2:14" s="16" customFormat="1">
      <c r="B79" s="38"/>
      <c r="C79" s="38"/>
      <c r="D79" s="11"/>
      <c r="F79" s="22"/>
      <c r="G79" s="21"/>
      <c r="H79" s="21"/>
      <c r="I79" s="21"/>
      <c r="J79" s="21"/>
      <c r="K79" s="42"/>
      <c r="L79" s="11"/>
      <c r="M79" s="11"/>
      <c r="N79" s="26"/>
    </row>
    <row r="80" spans="2:14" s="16" customFormat="1">
      <c r="B80" s="38"/>
      <c r="C80" s="38"/>
      <c r="D80" s="11"/>
      <c r="F80" s="22"/>
      <c r="G80" s="21"/>
      <c r="H80" s="21"/>
      <c r="I80" s="21"/>
      <c r="J80" s="21"/>
      <c r="K80" s="42"/>
      <c r="L80" s="11"/>
      <c r="M80" s="11"/>
      <c r="N80" s="26"/>
    </row>
    <row r="81" spans="2:14" s="16" customFormat="1">
      <c r="B81" s="38"/>
      <c r="C81" s="38"/>
      <c r="D81" s="11"/>
      <c r="F81" s="22"/>
      <c r="G81" s="21"/>
      <c r="H81" s="21"/>
      <c r="I81" s="21"/>
      <c r="J81" s="21"/>
      <c r="K81" s="42"/>
      <c r="L81" s="11"/>
      <c r="M81" s="11"/>
      <c r="N81" s="26"/>
    </row>
    <row r="82" spans="2:14" s="16" customFormat="1">
      <c r="B82" s="38"/>
      <c r="C82" s="38"/>
      <c r="D82" s="11"/>
      <c r="F82" s="22"/>
      <c r="G82" s="21"/>
      <c r="H82" s="21"/>
      <c r="I82" s="21"/>
      <c r="J82" s="21"/>
      <c r="K82" s="42"/>
      <c r="L82" s="11"/>
      <c r="M82" s="11"/>
      <c r="N82" s="26"/>
    </row>
    <row r="83" spans="2:14" s="16" customFormat="1">
      <c r="B83" s="38"/>
      <c r="C83" s="38"/>
      <c r="D83" s="11"/>
      <c r="F83" s="22"/>
      <c r="G83" s="21"/>
      <c r="H83" s="21"/>
      <c r="I83" s="21"/>
      <c r="J83" s="21"/>
      <c r="K83" s="42"/>
      <c r="L83" s="11"/>
      <c r="M83" s="11"/>
      <c r="N83" s="26"/>
    </row>
    <row r="84" spans="2:14" s="16" customFormat="1">
      <c r="B84" s="38"/>
      <c r="C84" s="38"/>
      <c r="D84" s="11"/>
      <c r="F84" s="22"/>
      <c r="G84" s="21"/>
      <c r="H84" s="21"/>
      <c r="I84" s="21"/>
      <c r="J84" s="21"/>
      <c r="K84" s="42"/>
      <c r="L84" s="11"/>
      <c r="M84" s="11"/>
      <c r="N84" s="26"/>
    </row>
    <row r="85" spans="2:14" s="16" customFormat="1">
      <c r="B85" s="38"/>
      <c r="C85" s="38"/>
      <c r="D85" s="11"/>
      <c r="F85" s="22"/>
      <c r="G85" s="21"/>
      <c r="H85" s="21"/>
      <c r="I85" s="21"/>
      <c r="J85" s="21"/>
      <c r="K85" s="42"/>
      <c r="L85" s="11"/>
      <c r="M85" s="11"/>
      <c r="N85" s="26"/>
    </row>
    <row r="86" spans="2:14" s="16" customFormat="1">
      <c r="B86" s="38"/>
      <c r="C86" s="38"/>
      <c r="D86" s="11"/>
      <c r="F86" s="22"/>
      <c r="G86" s="21"/>
      <c r="H86" s="21"/>
      <c r="I86" s="21"/>
      <c r="J86" s="21"/>
      <c r="K86" s="42"/>
      <c r="L86" s="11"/>
      <c r="M86" s="11"/>
      <c r="N86" s="26"/>
    </row>
    <row r="87" spans="2:14" s="16" customFormat="1">
      <c r="B87" s="38"/>
      <c r="C87" s="38"/>
      <c r="D87" s="11"/>
      <c r="F87" s="22"/>
      <c r="G87" s="21"/>
      <c r="H87" s="21"/>
      <c r="I87" s="21"/>
      <c r="J87" s="21"/>
      <c r="K87" s="42"/>
      <c r="L87" s="11"/>
      <c r="M87" s="11"/>
      <c r="N87" s="26"/>
    </row>
    <row r="88" spans="2:14" s="16" customFormat="1">
      <c r="B88" s="38"/>
      <c r="C88" s="38"/>
      <c r="D88" s="11"/>
      <c r="F88" s="22"/>
      <c r="G88" s="21"/>
      <c r="H88" s="21"/>
      <c r="I88" s="21"/>
      <c r="J88" s="21"/>
      <c r="K88" s="42"/>
      <c r="L88" s="11"/>
      <c r="M88" s="11"/>
      <c r="N88" s="26"/>
    </row>
    <row r="89" spans="2:14" s="16" customFormat="1">
      <c r="B89" s="38"/>
      <c r="C89" s="38"/>
      <c r="D89" s="11"/>
      <c r="F89" s="22"/>
      <c r="G89" s="21"/>
      <c r="H89" s="21"/>
      <c r="I89" s="21"/>
      <c r="J89" s="21"/>
      <c r="K89" s="42"/>
      <c r="L89" s="11"/>
      <c r="M89" s="11"/>
      <c r="N89" s="26"/>
    </row>
    <row r="90" spans="2:14" s="16" customFormat="1">
      <c r="B90" s="38"/>
      <c r="C90" s="38"/>
      <c r="D90" s="11"/>
      <c r="F90" s="22"/>
      <c r="G90" s="21"/>
      <c r="H90" s="21"/>
      <c r="I90" s="21"/>
      <c r="J90" s="21"/>
      <c r="K90" s="42"/>
      <c r="L90" s="11"/>
      <c r="M90" s="11"/>
      <c r="N90" s="26"/>
    </row>
    <row r="91" spans="2:14" s="16" customFormat="1">
      <c r="B91" s="38"/>
      <c r="C91" s="38"/>
      <c r="D91" s="11"/>
      <c r="F91" s="22"/>
      <c r="G91" s="21"/>
      <c r="H91" s="21"/>
      <c r="I91" s="21"/>
      <c r="J91" s="21"/>
      <c r="K91" s="42"/>
      <c r="L91" s="11"/>
      <c r="M91" s="11"/>
      <c r="N91" s="26"/>
    </row>
    <row r="92" spans="2:14" s="16" customFormat="1">
      <c r="B92" s="38"/>
      <c r="C92" s="38"/>
      <c r="D92" s="11"/>
      <c r="F92" s="22"/>
      <c r="G92" s="21"/>
      <c r="H92" s="21"/>
      <c r="I92" s="21"/>
      <c r="J92" s="21"/>
      <c r="K92" s="42"/>
      <c r="L92" s="11"/>
      <c r="M92" s="11"/>
      <c r="N92" s="26"/>
    </row>
    <row r="93" spans="2:14" s="16" customFormat="1">
      <c r="B93" s="38"/>
      <c r="C93" s="38"/>
      <c r="D93" s="11"/>
      <c r="F93" s="22"/>
      <c r="G93" s="21"/>
      <c r="H93" s="21"/>
      <c r="I93" s="21"/>
      <c r="J93" s="21"/>
      <c r="K93" s="42"/>
      <c r="L93" s="11"/>
      <c r="M93" s="11"/>
      <c r="N93" s="26"/>
    </row>
    <row r="94" spans="2:14" s="16" customFormat="1">
      <c r="B94" s="38"/>
      <c r="C94" s="38"/>
      <c r="D94" s="11"/>
      <c r="F94" s="22"/>
      <c r="G94" s="21"/>
      <c r="H94" s="21"/>
      <c r="I94" s="21"/>
      <c r="J94" s="21"/>
      <c r="K94" s="42"/>
      <c r="L94" s="11"/>
      <c r="M94" s="11"/>
      <c r="N94" s="26"/>
    </row>
    <row r="95" spans="2:14" s="16" customFormat="1">
      <c r="B95" s="38"/>
      <c r="C95" s="38"/>
      <c r="D95" s="11"/>
      <c r="F95" s="22"/>
      <c r="G95" s="21"/>
      <c r="H95" s="21"/>
      <c r="I95" s="21"/>
      <c r="J95" s="21"/>
      <c r="K95" s="42"/>
      <c r="L95" s="11"/>
      <c r="M95" s="11"/>
      <c r="N95" s="26"/>
    </row>
    <row r="96" spans="2:14" s="16" customFormat="1">
      <c r="B96" s="38"/>
      <c r="C96" s="38"/>
      <c r="D96" s="11"/>
      <c r="F96" s="22"/>
      <c r="G96" s="21"/>
      <c r="H96" s="21"/>
      <c r="I96" s="21"/>
      <c r="J96" s="21"/>
      <c r="K96" s="42"/>
      <c r="L96" s="11"/>
      <c r="M96" s="11"/>
      <c r="N96" s="26"/>
    </row>
    <row r="97" spans="2:14" s="16" customFormat="1">
      <c r="B97" s="38"/>
      <c r="C97" s="38"/>
      <c r="D97" s="11"/>
      <c r="F97" s="22"/>
      <c r="G97" s="21"/>
      <c r="H97" s="21"/>
      <c r="I97" s="21"/>
      <c r="J97" s="21"/>
      <c r="K97" s="42"/>
      <c r="L97" s="11"/>
      <c r="M97" s="11"/>
      <c r="N97" s="26"/>
    </row>
    <row r="98" spans="2:14" s="16" customFormat="1">
      <c r="B98" s="38"/>
      <c r="C98" s="38"/>
      <c r="D98" s="11"/>
      <c r="F98" s="22"/>
      <c r="G98" s="21"/>
      <c r="H98" s="21"/>
      <c r="I98" s="21"/>
      <c r="J98" s="21"/>
      <c r="K98" s="42"/>
      <c r="L98" s="11"/>
      <c r="M98" s="11"/>
      <c r="N98" s="26"/>
    </row>
    <row r="99" spans="2:14" s="16" customFormat="1">
      <c r="B99" s="38"/>
      <c r="C99" s="38"/>
      <c r="D99" s="11"/>
      <c r="F99" s="22"/>
      <c r="G99" s="21"/>
      <c r="H99" s="21"/>
      <c r="I99" s="21"/>
      <c r="J99" s="21"/>
      <c r="K99" s="42"/>
      <c r="L99" s="11"/>
      <c r="M99" s="11"/>
      <c r="N99" s="26"/>
    </row>
    <row r="100" spans="2:14" s="16" customFormat="1">
      <c r="B100" s="38"/>
      <c r="C100" s="38"/>
      <c r="D100" s="11"/>
      <c r="F100" s="22"/>
      <c r="G100" s="21"/>
      <c r="H100" s="21"/>
      <c r="I100" s="21"/>
      <c r="J100" s="21"/>
      <c r="K100" s="42"/>
      <c r="L100" s="11"/>
      <c r="M100" s="11"/>
      <c r="N100" s="26"/>
    </row>
    <row r="101" spans="2:14" s="16" customFormat="1">
      <c r="B101" s="38"/>
      <c r="C101" s="38"/>
      <c r="D101" s="11"/>
      <c r="F101" s="22"/>
      <c r="G101" s="21"/>
      <c r="H101" s="21"/>
      <c r="I101" s="21"/>
      <c r="J101" s="21"/>
      <c r="K101" s="42"/>
      <c r="L101" s="11"/>
      <c r="M101" s="11"/>
      <c r="N101" s="26"/>
    </row>
    <row r="102" spans="2:14" s="16" customFormat="1">
      <c r="B102" s="38"/>
      <c r="C102" s="38"/>
      <c r="D102" s="11"/>
      <c r="F102" s="22"/>
      <c r="G102" s="21"/>
      <c r="H102" s="21"/>
      <c r="I102" s="21"/>
      <c r="J102" s="21"/>
      <c r="K102" s="42"/>
      <c r="L102" s="11"/>
      <c r="M102" s="11"/>
      <c r="N102" s="26"/>
    </row>
    <row r="103" spans="2:14" s="16" customFormat="1">
      <c r="B103" s="38"/>
      <c r="C103" s="38"/>
      <c r="D103" s="11"/>
      <c r="F103" s="22"/>
      <c r="G103" s="21"/>
      <c r="H103" s="21"/>
      <c r="I103" s="21"/>
      <c r="J103" s="21"/>
      <c r="K103" s="42"/>
      <c r="L103" s="11"/>
      <c r="M103" s="11"/>
      <c r="N103" s="26"/>
    </row>
    <row r="104" spans="2:14" s="16" customFormat="1">
      <c r="B104" s="38"/>
      <c r="C104" s="38"/>
      <c r="D104" s="11"/>
      <c r="F104" s="22"/>
      <c r="G104" s="21"/>
      <c r="H104" s="21"/>
      <c r="I104" s="21"/>
      <c r="J104" s="21"/>
      <c r="K104" s="42"/>
      <c r="L104" s="11"/>
      <c r="M104" s="11"/>
      <c r="N104" s="26"/>
    </row>
    <row r="105" spans="2:14" s="16" customFormat="1">
      <c r="B105" s="38"/>
      <c r="C105" s="38"/>
      <c r="D105" s="11"/>
      <c r="F105" s="22"/>
      <c r="G105" s="21"/>
      <c r="H105" s="21"/>
      <c r="I105" s="21"/>
      <c r="J105" s="21"/>
      <c r="K105" s="42"/>
      <c r="L105" s="11"/>
      <c r="M105" s="11"/>
      <c r="N105" s="26"/>
    </row>
    <row r="106" spans="2:14" s="16" customFormat="1">
      <c r="B106" s="38"/>
      <c r="C106" s="38"/>
      <c r="D106" s="11"/>
      <c r="F106" s="22"/>
      <c r="G106" s="21"/>
      <c r="H106" s="21"/>
      <c r="I106" s="21"/>
      <c r="J106" s="21"/>
      <c r="K106" s="42"/>
      <c r="L106" s="11"/>
      <c r="M106" s="11"/>
      <c r="N106" s="26"/>
    </row>
    <row r="107" spans="2:14" s="16" customFormat="1">
      <c r="B107" s="38"/>
      <c r="C107" s="38"/>
      <c r="D107" s="11"/>
      <c r="F107" s="22"/>
      <c r="G107" s="21"/>
      <c r="H107" s="21"/>
      <c r="I107" s="21"/>
      <c r="J107" s="21"/>
      <c r="K107" s="42"/>
      <c r="L107" s="11"/>
      <c r="M107" s="11"/>
      <c r="N107" s="26"/>
    </row>
    <row r="108" spans="2:14" s="16" customFormat="1">
      <c r="B108" s="38"/>
      <c r="C108" s="38"/>
      <c r="D108" s="11"/>
      <c r="F108" s="22"/>
      <c r="G108" s="21"/>
      <c r="H108" s="21"/>
      <c r="I108" s="21"/>
      <c r="J108" s="21"/>
      <c r="K108" s="42"/>
      <c r="L108" s="11"/>
      <c r="M108" s="11"/>
      <c r="N108" s="26"/>
    </row>
    <row r="109" spans="2:14" s="16" customFormat="1">
      <c r="B109" s="38"/>
      <c r="C109" s="38"/>
      <c r="D109" s="11"/>
      <c r="F109" s="22"/>
      <c r="G109" s="21"/>
      <c r="H109" s="21"/>
      <c r="I109" s="21"/>
      <c r="J109" s="21"/>
      <c r="K109" s="42"/>
      <c r="L109" s="11"/>
      <c r="M109" s="11"/>
      <c r="N109" s="26"/>
    </row>
    <row r="110" spans="2:14" s="16" customFormat="1">
      <c r="B110" s="38"/>
      <c r="C110" s="38"/>
      <c r="D110" s="11"/>
      <c r="F110" s="22"/>
      <c r="G110" s="21"/>
      <c r="H110" s="21"/>
      <c r="I110" s="21"/>
      <c r="J110" s="21"/>
      <c r="K110" s="42"/>
      <c r="L110" s="11"/>
      <c r="M110" s="11"/>
      <c r="N110" s="26"/>
    </row>
    <row r="111" spans="2:14" s="16" customFormat="1">
      <c r="B111" s="38"/>
      <c r="C111" s="38"/>
      <c r="D111" s="11"/>
      <c r="F111" s="22"/>
      <c r="G111" s="21"/>
      <c r="H111" s="21"/>
      <c r="I111" s="21"/>
      <c r="J111" s="21"/>
      <c r="K111" s="42"/>
      <c r="L111" s="11"/>
      <c r="M111" s="11"/>
      <c r="N111" s="26"/>
    </row>
    <row r="112" spans="2:14" s="16" customFormat="1">
      <c r="B112" s="38"/>
      <c r="C112" s="38"/>
      <c r="D112" s="11"/>
      <c r="F112" s="22"/>
      <c r="G112" s="21"/>
      <c r="H112" s="21"/>
      <c r="I112" s="21"/>
      <c r="J112" s="21"/>
      <c r="K112" s="42"/>
      <c r="L112" s="11"/>
      <c r="M112" s="11"/>
      <c r="N112" s="26"/>
    </row>
    <row r="113" spans="2:14" s="16" customFormat="1">
      <c r="B113" s="38"/>
      <c r="C113" s="38"/>
      <c r="D113" s="11"/>
      <c r="F113" s="22"/>
      <c r="G113" s="21"/>
      <c r="H113" s="21"/>
      <c r="I113" s="21"/>
      <c r="J113" s="21"/>
      <c r="K113" s="42"/>
      <c r="L113" s="11"/>
      <c r="M113" s="11"/>
      <c r="N113" s="26"/>
    </row>
    <row r="114" spans="2:14" s="16" customFormat="1">
      <c r="B114" s="38"/>
      <c r="C114" s="38"/>
      <c r="D114" s="11"/>
      <c r="F114" s="22"/>
      <c r="G114" s="21"/>
      <c r="H114" s="21"/>
      <c r="I114" s="21"/>
      <c r="J114" s="21"/>
      <c r="K114" s="42"/>
      <c r="L114" s="11"/>
      <c r="M114" s="11"/>
      <c r="N114" s="26"/>
    </row>
    <row r="115" spans="2:14" s="16" customFormat="1">
      <c r="B115" s="38"/>
      <c r="C115" s="38"/>
      <c r="D115" s="11"/>
      <c r="F115" s="22"/>
      <c r="G115" s="21"/>
      <c r="H115" s="21"/>
      <c r="I115" s="21"/>
      <c r="J115" s="21"/>
      <c r="K115" s="42"/>
      <c r="L115" s="11"/>
      <c r="M115" s="11"/>
      <c r="N115" s="26"/>
    </row>
    <row r="116" spans="2:14" s="16" customFormat="1">
      <c r="B116" s="38"/>
      <c r="C116" s="38"/>
      <c r="D116" s="11"/>
      <c r="F116" s="22"/>
      <c r="G116" s="21"/>
      <c r="H116" s="21"/>
      <c r="I116" s="21"/>
      <c r="J116" s="21"/>
      <c r="K116" s="42"/>
      <c r="L116" s="11"/>
      <c r="M116" s="11"/>
      <c r="N116" s="26"/>
    </row>
    <row r="117" spans="2:14" s="16" customFormat="1">
      <c r="B117" s="38"/>
      <c r="C117" s="38"/>
      <c r="D117" s="11"/>
      <c r="F117" s="22"/>
      <c r="G117" s="21"/>
      <c r="H117" s="21"/>
      <c r="I117" s="21"/>
      <c r="J117" s="21"/>
      <c r="K117" s="42"/>
      <c r="L117" s="11"/>
      <c r="M117" s="11"/>
      <c r="N117" s="26"/>
    </row>
    <row r="118" spans="2:14" s="16" customFormat="1">
      <c r="B118" s="38"/>
      <c r="C118" s="38"/>
      <c r="D118" s="11"/>
      <c r="F118" s="22"/>
      <c r="G118" s="21"/>
      <c r="H118" s="21"/>
      <c r="I118" s="21"/>
      <c r="J118" s="21"/>
      <c r="K118" s="42"/>
      <c r="L118" s="11"/>
      <c r="M118" s="11"/>
      <c r="N118" s="26"/>
    </row>
    <row r="119" spans="2:14" s="16" customFormat="1">
      <c r="B119" s="38"/>
      <c r="C119" s="38"/>
      <c r="D119" s="11"/>
      <c r="F119" s="22"/>
      <c r="G119" s="21"/>
      <c r="H119" s="21"/>
      <c r="I119" s="21"/>
      <c r="J119" s="21"/>
      <c r="K119" s="42"/>
      <c r="L119" s="11"/>
      <c r="M119" s="11"/>
      <c r="N119" s="26"/>
    </row>
    <row r="120" spans="2:14" s="16" customFormat="1">
      <c r="B120" s="38"/>
      <c r="C120" s="38"/>
      <c r="D120" s="11"/>
      <c r="F120" s="22"/>
      <c r="G120" s="21"/>
      <c r="H120" s="21"/>
      <c r="I120" s="21"/>
      <c r="J120" s="21"/>
      <c r="K120" s="42"/>
      <c r="L120" s="11"/>
      <c r="M120" s="11"/>
      <c r="N120" s="26"/>
    </row>
    <row r="121" spans="2:14" s="16" customFormat="1">
      <c r="B121" s="38"/>
      <c r="C121" s="38"/>
      <c r="D121" s="11"/>
      <c r="F121" s="22"/>
      <c r="G121" s="21"/>
      <c r="H121" s="21"/>
      <c r="I121" s="21"/>
      <c r="J121" s="21"/>
      <c r="K121" s="42"/>
      <c r="L121" s="11"/>
      <c r="M121" s="11"/>
      <c r="N121" s="26"/>
    </row>
    <row r="122" spans="2:14" s="16" customFormat="1">
      <c r="B122" s="38"/>
      <c r="C122" s="38"/>
      <c r="D122" s="11"/>
      <c r="F122" s="22"/>
      <c r="G122" s="21"/>
      <c r="H122" s="21"/>
      <c r="I122" s="21"/>
      <c r="J122" s="21"/>
      <c r="K122" s="42"/>
      <c r="L122" s="11"/>
      <c r="M122" s="11"/>
      <c r="N122" s="26"/>
    </row>
    <row r="123" spans="2:14" s="16" customFormat="1">
      <c r="B123" s="38"/>
      <c r="C123" s="38"/>
      <c r="D123" s="11"/>
      <c r="F123" s="22"/>
      <c r="G123" s="21"/>
      <c r="H123" s="21"/>
      <c r="I123" s="21"/>
      <c r="J123" s="21"/>
      <c r="K123" s="42"/>
      <c r="L123" s="11"/>
      <c r="M123" s="11"/>
      <c r="N123" s="26"/>
    </row>
    <row r="124" spans="2:14" s="16" customFormat="1">
      <c r="B124" s="38"/>
      <c r="C124" s="38"/>
      <c r="D124" s="11"/>
      <c r="F124" s="22"/>
      <c r="G124" s="21"/>
      <c r="H124" s="21"/>
      <c r="I124" s="21"/>
      <c r="J124" s="21"/>
      <c r="K124" s="42"/>
      <c r="L124" s="11"/>
      <c r="M124" s="11"/>
      <c r="N124" s="26"/>
    </row>
    <row r="125" spans="2:14" s="16" customFormat="1">
      <c r="B125" s="38"/>
      <c r="C125" s="38"/>
      <c r="D125" s="11"/>
      <c r="F125" s="22"/>
      <c r="G125" s="21"/>
      <c r="H125" s="21"/>
      <c r="I125" s="21"/>
      <c r="J125" s="21"/>
      <c r="K125" s="42"/>
      <c r="L125" s="11"/>
      <c r="M125" s="11"/>
      <c r="N125" s="26"/>
    </row>
    <row r="126" spans="2:14" s="16" customFormat="1">
      <c r="B126" s="38"/>
      <c r="C126" s="38"/>
      <c r="D126" s="11"/>
      <c r="F126" s="22"/>
      <c r="G126" s="21"/>
      <c r="H126" s="21"/>
      <c r="I126" s="21"/>
      <c r="J126" s="21"/>
      <c r="K126" s="42"/>
      <c r="L126" s="11"/>
      <c r="M126" s="11"/>
      <c r="N126" s="26"/>
    </row>
    <row r="127" spans="2:14" s="16" customFormat="1">
      <c r="B127" s="38"/>
      <c r="C127" s="38"/>
      <c r="D127" s="11"/>
      <c r="F127" s="22"/>
      <c r="G127" s="21"/>
      <c r="H127" s="21"/>
      <c r="I127" s="21"/>
      <c r="J127" s="21"/>
      <c r="K127" s="42"/>
      <c r="L127" s="11"/>
      <c r="M127" s="11"/>
      <c r="N127" s="26"/>
    </row>
    <row r="128" spans="2:14" s="16" customFormat="1">
      <c r="B128" s="38"/>
      <c r="C128" s="38"/>
      <c r="D128" s="11"/>
      <c r="F128" s="22"/>
      <c r="G128" s="21"/>
      <c r="H128" s="21"/>
      <c r="I128" s="21"/>
      <c r="J128" s="21"/>
      <c r="K128" s="42"/>
      <c r="L128" s="11"/>
      <c r="M128" s="11"/>
      <c r="N128" s="26"/>
    </row>
    <row r="129" spans="2:14" s="16" customFormat="1">
      <c r="B129" s="38"/>
      <c r="C129" s="38"/>
      <c r="D129" s="11"/>
      <c r="F129" s="22"/>
      <c r="G129" s="21"/>
      <c r="H129" s="21"/>
      <c r="I129" s="21"/>
      <c r="J129" s="21"/>
      <c r="K129" s="42"/>
      <c r="L129" s="11"/>
      <c r="M129" s="11"/>
      <c r="N129" s="26"/>
    </row>
    <row r="130" spans="2:14" s="16" customFormat="1">
      <c r="B130" s="38"/>
      <c r="C130" s="38"/>
      <c r="D130" s="11"/>
      <c r="F130" s="22"/>
      <c r="G130" s="21"/>
      <c r="H130" s="21"/>
      <c r="I130" s="21"/>
      <c r="J130" s="21"/>
      <c r="K130" s="42"/>
      <c r="L130" s="11"/>
      <c r="M130" s="11"/>
      <c r="N130" s="26"/>
    </row>
    <row r="131" spans="2:14" s="16" customFormat="1">
      <c r="B131" s="38"/>
      <c r="C131" s="38"/>
      <c r="D131" s="11"/>
      <c r="F131" s="22"/>
      <c r="G131" s="21"/>
      <c r="H131" s="21"/>
      <c r="I131" s="21"/>
      <c r="J131" s="21"/>
      <c r="K131" s="42"/>
      <c r="L131" s="11"/>
      <c r="M131" s="11"/>
      <c r="N131" s="26"/>
    </row>
    <row r="132" spans="2:14" s="16" customFormat="1">
      <c r="B132" s="38"/>
      <c r="C132" s="38"/>
      <c r="D132" s="11"/>
      <c r="F132" s="22"/>
      <c r="G132" s="21"/>
      <c r="H132" s="21"/>
      <c r="I132" s="21"/>
      <c r="J132" s="21"/>
      <c r="K132" s="42"/>
      <c r="L132" s="11"/>
      <c r="M132" s="11"/>
      <c r="N132" s="26"/>
    </row>
    <row r="133" spans="2:14" s="16" customFormat="1">
      <c r="B133" s="38"/>
      <c r="C133" s="38"/>
      <c r="D133" s="11"/>
      <c r="F133" s="22"/>
      <c r="G133" s="21"/>
      <c r="H133" s="21"/>
      <c r="I133" s="21"/>
      <c r="J133" s="21"/>
      <c r="K133" s="42"/>
      <c r="L133" s="11"/>
      <c r="M133" s="11"/>
      <c r="N133" s="26"/>
    </row>
    <row r="134" spans="2:14" s="16" customFormat="1">
      <c r="B134" s="38"/>
      <c r="C134" s="38"/>
      <c r="D134" s="11"/>
      <c r="F134" s="22"/>
      <c r="G134" s="21"/>
      <c r="H134" s="21"/>
      <c r="I134" s="21"/>
      <c r="J134" s="21"/>
      <c r="K134" s="42"/>
      <c r="L134" s="11"/>
      <c r="M134" s="11"/>
      <c r="N134" s="26"/>
    </row>
    <row r="135" spans="2:14" s="16" customFormat="1">
      <c r="B135" s="38"/>
      <c r="C135" s="38"/>
      <c r="D135" s="11"/>
      <c r="F135" s="22"/>
      <c r="G135" s="21"/>
      <c r="H135" s="21"/>
      <c r="I135" s="21"/>
      <c r="J135" s="21"/>
      <c r="K135" s="42"/>
      <c r="L135" s="11"/>
      <c r="M135" s="11"/>
      <c r="N135" s="26"/>
    </row>
    <row r="136" spans="2:14" s="16" customFormat="1">
      <c r="B136" s="38"/>
      <c r="C136" s="38"/>
      <c r="D136" s="11"/>
      <c r="F136" s="22"/>
      <c r="G136" s="21"/>
      <c r="H136" s="21"/>
      <c r="I136" s="21"/>
      <c r="J136" s="21"/>
      <c r="K136" s="42"/>
      <c r="L136" s="11"/>
      <c r="M136" s="11"/>
      <c r="N136" s="26"/>
    </row>
    <row r="137" spans="2:14" s="16" customFormat="1">
      <c r="B137" s="38"/>
      <c r="C137" s="38"/>
      <c r="D137" s="11"/>
      <c r="F137" s="22"/>
      <c r="G137" s="21"/>
      <c r="H137" s="21"/>
      <c r="I137" s="21"/>
      <c r="J137" s="21"/>
      <c r="K137" s="42"/>
      <c r="L137" s="11"/>
      <c r="M137" s="11"/>
      <c r="N137" s="26"/>
    </row>
    <row r="138" spans="2:14" s="16" customFormat="1">
      <c r="B138" s="38"/>
      <c r="C138" s="38"/>
      <c r="D138" s="11"/>
      <c r="F138" s="22"/>
      <c r="G138" s="21"/>
      <c r="H138" s="21"/>
      <c r="I138" s="21"/>
      <c r="J138" s="21"/>
      <c r="K138" s="42"/>
      <c r="L138" s="11"/>
      <c r="M138" s="11"/>
      <c r="N138" s="26"/>
    </row>
    <row r="139" spans="2:14" s="16" customFormat="1">
      <c r="B139" s="38"/>
      <c r="C139" s="38"/>
      <c r="D139" s="11"/>
      <c r="F139" s="22"/>
      <c r="G139" s="21"/>
      <c r="H139" s="21"/>
      <c r="I139" s="21"/>
      <c r="J139" s="21"/>
      <c r="K139" s="42"/>
      <c r="L139" s="11"/>
      <c r="M139" s="11"/>
      <c r="N139" s="26"/>
    </row>
    <row r="140" spans="2:14" s="16" customFormat="1">
      <c r="B140" s="38"/>
      <c r="C140" s="38"/>
      <c r="D140" s="11"/>
      <c r="F140" s="22"/>
      <c r="G140" s="21"/>
      <c r="H140" s="21"/>
      <c r="I140" s="21"/>
      <c r="J140" s="21"/>
      <c r="K140" s="42"/>
      <c r="L140" s="11"/>
      <c r="M140" s="11"/>
      <c r="N140" s="26"/>
    </row>
    <row r="141" spans="2:14" s="16" customFormat="1">
      <c r="B141" s="38"/>
      <c r="C141" s="38"/>
      <c r="D141" s="11"/>
      <c r="F141" s="22"/>
      <c r="G141" s="21"/>
      <c r="H141" s="21"/>
      <c r="I141" s="21"/>
      <c r="J141" s="21"/>
      <c r="K141" s="42"/>
      <c r="L141" s="11"/>
      <c r="M141" s="11"/>
      <c r="N141" s="26"/>
    </row>
    <row r="142" spans="2:14" s="16" customFormat="1">
      <c r="B142" s="38"/>
      <c r="C142" s="38"/>
      <c r="D142" s="11"/>
      <c r="F142" s="22"/>
      <c r="G142" s="21"/>
      <c r="H142" s="21"/>
      <c r="I142" s="21"/>
      <c r="J142" s="21"/>
      <c r="K142" s="42"/>
      <c r="L142" s="11"/>
      <c r="M142" s="11"/>
      <c r="N142" s="26"/>
    </row>
    <row r="143" spans="2:14" s="16" customFormat="1">
      <c r="B143" s="38"/>
      <c r="C143" s="38"/>
      <c r="D143" s="11"/>
      <c r="F143" s="22"/>
      <c r="G143" s="21"/>
      <c r="H143" s="21"/>
      <c r="I143" s="21"/>
      <c r="J143" s="21"/>
      <c r="K143" s="42"/>
      <c r="L143" s="11"/>
      <c r="M143" s="11"/>
      <c r="N143" s="26"/>
    </row>
    <row r="144" spans="2:14" s="16" customFormat="1">
      <c r="B144" s="38"/>
      <c r="C144" s="38"/>
      <c r="D144" s="11"/>
      <c r="F144" s="22"/>
      <c r="G144" s="21"/>
      <c r="H144" s="21"/>
      <c r="I144" s="21"/>
      <c r="J144" s="21"/>
      <c r="K144" s="42"/>
      <c r="L144" s="11"/>
      <c r="M144" s="11"/>
      <c r="N144" s="26"/>
    </row>
    <row r="145" spans="2:14" s="16" customFormat="1">
      <c r="B145" s="38"/>
      <c r="C145" s="38"/>
      <c r="D145" s="11"/>
      <c r="F145" s="22"/>
      <c r="G145" s="21"/>
      <c r="H145" s="21"/>
      <c r="I145" s="21"/>
      <c r="J145" s="21"/>
      <c r="K145" s="42"/>
      <c r="L145" s="11"/>
      <c r="M145" s="11"/>
      <c r="N145" s="26"/>
    </row>
    <row r="146" spans="2:14" s="16" customFormat="1">
      <c r="B146" s="38"/>
      <c r="C146" s="38"/>
      <c r="D146" s="11"/>
      <c r="F146" s="22"/>
      <c r="G146" s="21"/>
      <c r="H146" s="21"/>
      <c r="I146" s="21"/>
      <c r="J146" s="21"/>
      <c r="K146" s="42"/>
      <c r="L146" s="11"/>
      <c r="M146" s="11"/>
      <c r="N146" s="26"/>
    </row>
    <row r="147" spans="2:14" s="16" customFormat="1">
      <c r="B147" s="38"/>
      <c r="C147" s="38"/>
      <c r="D147" s="11"/>
      <c r="F147" s="22"/>
      <c r="G147" s="21"/>
      <c r="H147" s="21"/>
      <c r="I147" s="21"/>
      <c r="J147" s="21"/>
      <c r="K147" s="42"/>
      <c r="L147" s="11"/>
      <c r="M147" s="11"/>
      <c r="N147" s="26"/>
    </row>
    <row r="148" spans="2:14" s="16" customFormat="1">
      <c r="B148" s="38"/>
      <c r="C148" s="38"/>
      <c r="D148" s="11"/>
      <c r="F148" s="22"/>
      <c r="G148" s="21"/>
      <c r="H148" s="21"/>
      <c r="I148" s="21"/>
      <c r="J148" s="21"/>
      <c r="K148" s="42"/>
      <c r="L148" s="11"/>
      <c r="M148" s="11"/>
      <c r="N148" s="26"/>
    </row>
    <row r="149" spans="2:14" s="16" customFormat="1">
      <c r="B149" s="38"/>
      <c r="C149" s="38"/>
      <c r="D149" s="11"/>
      <c r="F149" s="22"/>
      <c r="G149" s="21"/>
      <c r="H149" s="21"/>
      <c r="I149" s="21"/>
      <c r="J149" s="21"/>
      <c r="K149" s="42"/>
      <c r="L149" s="11"/>
      <c r="M149" s="11"/>
      <c r="N149" s="26"/>
    </row>
    <row r="150" spans="2:14" s="16" customFormat="1">
      <c r="B150" s="38"/>
      <c r="C150" s="38"/>
      <c r="D150" s="11"/>
      <c r="F150" s="22"/>
      <c r="G150" s="21"/>
      <c r="H150" s="21"/>
      <c r="I150" s="21"/>
      <c r="J150" s="21"/>
      <c r="K150" s="42"/>
      <c r="L150" s="11"/>
      <c r="M150" s="11"/>
      <c r="N150" s="26"/>
    </row>
    <row r="151" spans="2:14" s="16" customFormat="1">
      <c r="B151" s="38"/>
      <c r="C151" s="38"/>
      <c r="D151" s="11"/>
      <c r="F151" s="22"/>
      <c r="G151" s="21"/>
      <c r="H151" s="21"/>
      <c r="I151" s="21"/>
      <c r="J151" s="21"/>
      <c r="K151" s="42"/>
      <c r="L151" s="11"/>
      <c r="M151" s="11"/>
      <c r="N151" s="26"/>
    </row>
    <row r="152" spans="2:14" s="16" customFormat="1">
      <c r="B152" s="38"/>
      <c r="C152" s="38"/>
      <c r="D152" s="11"/>
      <c r="F152" s="22"/>
      <c r="G152" s="21"/>
      <c r="H152" s="21"/>
      <c r="I152" s="21"/>
      <c r="J152" s="21"/>
      <c r="K152" s="42"/>
      <c r="L152" s="11"/>
      <c r="M152" s="11"/>
      <c r="N152" s="26"/>
    </row>
    <row r="153" spans="2:14" s="16" customFormat="1">
      <c r="B153" s="38"/>
      <c r="C153" s="38"/>
      <c r="D153" s="11"/>
      <c r="F153" s="22"/>
      <c r="G153" s="21"/>
      <c r="H153" s="21"/>
      <c r="I153" s="21"/>
      <c r="J153" s="21"/>
      <c r="K153" s="42"/>
      <c r="L153" s="11"/>
      <c r="M153" s="11"/>
      <c r="N153" s="26"/>
    </row>
    <row r="154" spans="2:14" s="16" customFormat="1">
      <c r="B154" s="38"/>
      <c r="C154" s="38"/>
      <c r="D154" s="11"/>
      <c r="F154" s="22"/>
      <c r="G154" s="21"/>
      <c r="H154" s="21"/>
      <c r="I154" s="21"/>
      <c r="J154" s="21"/>
      <c r="K154" s="42"/>
      <c r="L154" s="11"/>
      <c r="M154" s="11"/>
      <c r="N154" s="26"/>
    </row>
    <row r="155" spans="2:14" s="16" customFormat="1">
      <c r="B155" s="38"/>
      <c r="C155" s="38"/>
      <c r="D155" s="11"/>
      <c r="F155" s="22"/>
      <c r="G155" s="21"/>
      <c r="H155" s="21"/>
      <c r="I155" s="21"/>
      <c r="J155" s="21"/>
      <c r="K155" s="42"/>
      <c r="L155" s="11"/>
      <c r="M155" s="11"/>
      <c r="N155" s="26"/>
    </row>
    <row r="156" spans="2:14" s="16" customFormat="1">
      <c r="B156" s="38"/>
      <c r="C156" s="38"/>
      <c r="D156" s="11"/>
      <c r="F156" s="22"/>
      <c r="G156" s="21"/>
      <c r="H156" s="21"/>
      <c r="I156" s="21"/>
      <c r="J156" s="21"/>
      <c r="K156" s="42"/>
      <c r="L156" s="11"/>
      <c r="M156" s="11"/>
      <c r="N156" s="26"/>
    </row>
    <row r="157" spans="2:14" s="16" customFormat="1">
      <c r="B157" s="38"/>
      <c r="C157" s="38"/>
      <c r="D157" s="11"/>
      <c r="F157" s="22"/>
      <c r="G157" s="21"/>
      <c r="H157" s="21"/>
      <c r="I157" s="21"/>
      <c r="J157" s="21"/>
      <c r="K157" s="42"/>
      <c r="L157" s="11"/>
      <c r="M157" s="11"/>
      <c r="N157" s="26"/>
    </row>
    <row r="158" spans="2:14" s="16" customFormat="1">
      <c r="B158" s="38"/>
      <c r="C158" s="38"/>
      <c r="D158" s="11"/>
      <c r="F158" s="22"/>
      <c r="G158" s="21"/>
      <c r="H158" s="21"/>
      <c r="I158" s="21"/>
      <c r="J158" s="21"/>
      <c r="K158" s="42"/>
      <c r="L158" s="11"/>
      <c r="M158" s="11"/>
      <c r="N158" s="26"/>
    </row>
    <row r="159" spans="2:14" s="16" customFormat="1">
      <c r="B159" s="38"/>
      <c r="C159" s="38"/>
      <c r="D159" s="11"/>
      <c r="F159" s="22"/>
      <c r="G159" s="21"/>
      <c r="H159" s="21"/>
      <c r="I159" s="21"/>
      <c r="J159" s="21"/>
      <c r="K159" s="42"/>
      <c r="L159" s="11"/>
      <c r="M159" s="11"/>
      <c r="N159" s="26"/>
    </row>
    <row r="160" spans="2:14" s="16" customFormat="1">
      <c r="B160" s="38"/>
      <c r="C160" s="38"/>
      <c r="D160" s="11"/>
      <c r="F160" s="22"/>
      <c r="G160" s="21"/>
      <c r="H160" s="21"/>
      <c r="I160" s="21"/>
      <c r="J160" s="21"/>
      <c r="K160" s="42"/>
      <c r="L160" s="11"/>
      <c r="M160" s="11"/>
      <c r="N160" s="26"/>
    </row>
    <row r="161" spans="2:14" s="16" customFormat="1">
      <c r="B161" s="38"/>
      <c r="C161" s="38"/>
      <c r="D161" s="11"/>
      <c r="F161" s="22"/>
      <c r="G161" s="21"/>
      <c r="H161" s="21"/>
      <c r="I161" s="21"/>
      <c r="J161" s="21"/>
      <c r="K161" s="42"/>
      <c r="L161" s="11"/>
      <c r="M161" s="11"/>
      <c r="N161" s="26"/>
    </row>
    <row r="162" spans="2:14" s="16" customFormat="1">
      <c r="B162" s="38"/>
      <c r="C162" s="38"/>
      <c r="D162" s="11"/>
      <c r="F162" s="22"/>
      <c r="G162" s="21"/>
      <c r="H162" s="21"/>
      <c r="I162" s="21"/>
      <c r="J162" s="21"/>
      <c r="K162" s="42"/>
      <c r="L162" s="11"/>
      <c r="M162" s="11"/>
      <c r="N162" s="26"/>
    </row>
    <row r="163" spans="2:14" s="16" customFormat="1">
      <c r="B163" s="38"/>
      <c r="C163" s="38"/>
      <c r="D163" s="11"/>
      <c r="F163" s="22"/>
      <c r="G163" s="21"/>
      <c r="H163" s="21"/>
      <c r="I163" s="21"/>
      <c r="J163" s="21"/>
      <c r="K163" s="42"/>
      <c r="L163" s="11"/>
      <c r="M163" s="11"/>
      <c r="N163" s="26"/>
    </row>
    <row r="164" spans="2:14" s="16" customFormat="1">
      <c r="B164" s="38"/>
      <c r="C164" s="38"/>
      <c r="D164" s="11"/>
      <c r="F164" s="22"/>
      <c r="G164" s="21"/>
      <c r="H164" s="21"/>
      <c r="I164" s="21"/>
      <c r="J164" s="21"/>
      <c r="K164" s="42"/>
      <c r="L164" s="11"/>
      <c r="M164" s="11"/>
      <c r="N164" s="26"/>
    </row>
    <row r="165" spans="2:14" s="16" customFormat="1">
      <c r="B165" s="38"/>
      <c r="C165" s="38"/>
      <c r="D165" s="11"/>
      <c r="F165" s="22"/>
      <c r="G165" s="21"/>
      <c r="H165" s="21"/>
      <c r="I165" s="21"/>
      <c r="J165" s="21"/>
      <c r="K165" s="42"/>
      <c r="L165" s="11"/>
      <c r="M165" s="11"/>
      <c r="N165" s="26"/>
    </row>
    <row r="166" spans="2:14" s="16" customFormat="1">
      <c r="B166" s="38"/>
      <c r="C166" s="38"/>
      <c r="D166" s="11"/>
      <c r="F166" s="22"/>
      <c r="G166" s="21"/>
      <c r="H166" s="21"/>
      <c r="I166" s="21"/>
      <c r="J166" s="21"/>
      <c r="K166" s="42"/>
      <c r="L166" s="11"/>
      <c r="M166" s="11"/>
      <c r="N166" s="26"/>
    </row>
    <row r="167" spans="2:14" s="16" customFormat="1">
      <c r="B167" s="38"/>
      <c r="C167" s="38"/>
      <c r="D167" s="11"/>
      <c r="F167" s="22"/>
      <c r="G167" s="21"/>
      <c r="H167" s="21"/>
      <c r="I167" s="21"/>
      <c r="J167" s="21"/>
      <c r="K167" s="42"/>
      <c r="L167" s="11"/>
      <c r="M167" s="11"/>
      <c r="N167" s="26"/>
    </row>
    <row r="168" spans="2:14" s="16" customFormat="1">
      <c r="B168" s="38"/>
      <c r="C168" s="38"/>
      <c r="D168" s="11"/>
      <c r="F168" s="22"/>
      <c r="G168" s="21"/>
      <c r="H168" s="21"/>
      <c r="I168" s="21"/>
      <c r="J168" s="21"/>
      <c r="K168" s="42"/>
      <c r="L168" s="11"/>
      <c r="M168" s="11"/>
      <c r="N168" s="26"/>
    </row>
    <row r="169" spans="2:14" s="16" customFormat="1">
      <c r="B169" s="38"/>
      <c r="C169" s="38"/>
      <c r="D169" s="11"/>
      <c r="F169" s="22"/>
      <c r="G169" s="21"/>
      <c r="H169" s="21"/>
      <c r="I169" s="21"/>
      <c r="J169" s="21"/>
      <c r="K169" s="42"/>
      <c r="L169" s="11"/>
      <c r="M169" s="11"/>
      <c r="N169" s="26"/>
    </row>
    <row r="170" spans="2:14" s="16" customFormat="1">
      <c r="B170" s="38"/>
      <c r="C170" s="38"/>
      <c r="D170" s="11"/>
      <c r="F170" s="22"/>
      <c r="G170" s="21"/>
      <c r="H170" s="21"/>
      <c r="I170" s="21"/>
      <c r="J170" s="21"/>
      <c r="K170" s="42"/>
      <c r="L170" s="11"/>
      <c r="M170" s="11"/>
      <c r="N170" s="26"/>
    </row>
    <row r="171" spans="2:14" s="16" customFormat="1">
      <c r="B171" s="38"/>
      <c r="C171" s="38"/>
      <c r="D171" s="11"/>
      <c r="F171" s="22"/>
      <c r="G171" s="21"/>
      <c r="H171" s="21"/>
      <c r="I171" s="21"/>
      <c r="J171" s="21"/>
      <c r="K171" s="42"/>
      <c r="L171" s="11"/>
      <c r="M171" s="11"/>
      <c r="N171" s="26"/>
    </row>
    <row r="172" spans="2:14" s="16" customFormat="1">
      <c r="B172" s="38"/>
      <c r="C172" s="38"/>
      <c r="D172" s="11"/>
      <c r="F172" s="22"/>
      <c r="G172" s="21"/>
      <c r="H172" s="21"/>
      <c r="I172" s="21"/>
      <c r="J172" s="21"/>
      <c r="K172" s="42"/>
      <c r="L172" s="11"/>
      <c r="M172" s="11"/>
      <c r="N172" s="26"/>
    </row>
    <row r="173" spans="2:14" s="16" customFormat="1">
      <c r="B173" s="38"/>
      <c r="C173" s="38"/>
      <c r="D173" s="11"/>
      <c r="F173" s="22"/>
      <c r="G173" s="21"/>
      <c r="H173" s="21"/>
      <c r="I173" s="21"/>
      <c r="J173" s="21"/>
      <c r="K173" s="42"/>
      <c r="L173" s="11"/>
      <c r="M173" s="11"/>
      <c r="N173" s="26"/>
    </row>
    <row r="174" spans="2:14" s="16" customFormat="1">
      <c r="B174" s="38"/>
      <c r="C174" s="38"/>
      <c r="D174" s="11"/>
      <c r="F174" s="22"/>
      <c r="G174" s="21"/>
      <c r="H174" s="21"/>
      <c r="I174" s="21"/>
      <c r="J174" s="21"/>
      <c r="K174" s="42"/>
      <c r="L174" s="11"/>
      <c r="M174" s="11"/>
      <c r="N174" s="26"/>
    </row>
    <row r="175" spans="2:14" s="16" customFormat="1">
      <c r="B175" s="38"/>
      <c r="C175" s="38"/>
      <c r="D175" s="11"/>
      <c r="F175" s="22"/>
      <c r="G175" s="21"/>
      <c r="H175" s="21"/>
      <c r="I175" s="21"/>
      <c r="J175" s="21"/>
      <c r="K175" s="42"/>
      <c r="L175" s="11"/>
      <c r="M175" s="11"/>
      <c r="N175" s="26"/>
    </row>
    <row r="176" spans="2:14" s="16" customFormat="1">
      <c r="B176" s="38"/>
      <c r="C176" s="38"/>
      <c r="D176" s="11"/>
      <c r="F176" s="22"/>
      <c r="G176" s="21"/>
      <c r="H176" s="21"/>
      <c r="I176" s="21"/>
      <c r="J176" s="21"/>
      <c r="K176" s="42"/>
      <c r="L176" s="11"/>
      <c r="M176" s="11"/>
      <c r="N176" s="26"/>
    </row>
    <row r="177" spans="2:14" s="16" customFormat="1">
      <c r="B177" s="38"/>
      <c r="C177" s="38"/>
      <c r="D177" s="11"/>
      <c r="F177" s="22"/>
      <c r="G177" s="21"/>
      <c r="H177" s="21"/>
      <c r="I177" s="21"/>
      <c r="J177" s="21"/>
      <c r="K177" s="42"/>
      <c r="L177" s="11"/>
      <c r="M177" s="11"/>
      <c r="N177" s="26"/>
    </row>
    <row r="178" spans="2:14" s="16" customFormat="1">
      <c r="B178" s="38"/>
      <c r="C178" s="38"/>
      <c r="D178" s="11"/>
      <c r="F178" s="22"/>
      <c r="G178" s="21"/>
      <c r="H178" s="21"/>
      <c r="I178" s="21"/>
      <c r="J178" s="21"/>
      <c r="K178" s="42"/>
      <c r="L178" s="11"/>
      <c r="M178" s="11"/>
      <c r="N178" s="26"/>
    </row>
    <row r="179" spans="2:14" s="16" customFormat="1">
      <c r="B179" s="38"/>
      <c r="C179" s="38"/>
      <c r="D179" s="11"/>
      <c r="F179" s="22"/>
      <c r="G179" s="21"/>
      <c r="H179" s="21"/>
      <c r="I179" s="21"/>
      <c r="J179" s="21"/>
      <c r="K179" s="42"/>
      <c r="L179" s="11"/>
      <c r="M179" s="11"/>
      <c r="N179" s="26"/>
    </row>
    <row r="180" spans="2:14" s="16" customFormat="1">
      <c r="B180" s="38"/>
      <c r="C180" s="38"/>
      <c r="D180" s="11"/>
      <c r="F180" s="22"/>
      <c r="G180" s="21"/>
      <c r="H180" s="21"/>
      <c r="I180" s="21"/>
      <c r="J180" s="21"/>
      <c r="K180" s="42"/>
      <c r="L180" s="11"/>
      <c r="M180" s="11"/>
      <c r="N180" s="26"/>
    </row>
    <row r="181" spans="2:14" s="16" customFormat="1">
      <c r="B181" s="38"/>
      <c r="C181" s="38"/>
      <c r="D181" s="11"/>
      <c r="F181" s="22"/>
      <c r="G181" s="21"/>
      <c r="H181" s="21"/>
      <c r="I181" s="21"/>
      <c r="J181" s="21"/>
      <c r="K181" s="42"/>
      <c r="L181" s="11"/>
      <c r="M181" s="11"/>
      <c r="N181" s="26"/>
    </row>
    <row r="182" spans="2:14" s="16" customFormat="1">
      <c r="B182" s="38"/>
      <c r="C182" s="38"/>
      <c r="D182" s="11"/>
      <c r="F182" s="22"/>
      <c r="G182" s="21"/>
      <c r="H182" s="21"/>
      <c r="I182" s="21"/>
      <c r="J182" s="21"/>
      <c r="K182" s="42"/>
      <c r="L182" s="11"/>
      <c r="M182" s="11"/>
      <c r="N182" s="26"/>
    </row>
    <row r="183" spans="2:14" s="16" customFormat="1">
      <c r="B183" s="38"/>
      <c r="C183" s="38"/>
      <c r="D183" s="11"/>
      <c r="F183" s="22"/>
      <c r="G183" s="21"/>
      <c r="H183" s="21"/>
      <c r="I183" s="21"/>
      <c r="J183" s="21"/>
      <c r="K183" s="42"/>
      <c r="L183" s="11"/>
      <c r="M183" s="11"/>
      <c r="N183" s="26"/>
    </row>
    <row r="184" spans="2:14" s="16" customFormat="1">
      <c r="B184" s="38"/>
      <c r="C184" s="38"/>
      <c r="D184" s="11"/>
      <c r="F184" s="22"/>
      <c r="G184" s="21"/>
      <c r="H184" s="21"/>
      <c r="I184" s="21"/>
      <c r="J184" s="21"/>
      <c r="K184" s="42"/>
      <c r="L184" s="11"/>
      <c r="M184" s="11"/>
      <c r="N184" s="26"/>
    </row>
    <row r="185" spans="2:14" s="16" customFormat="1">
      <c r="B185" s="38"/>
      <c r="C185" s="38"/>
      <c r="D185" s="11"/>
      <c r="F185" s="22"/>
      <c r="G185" s="21"/>
      <c r="H185" s="21"/>
      <c r="I185" s="21"/>
      <c r="J185" s="21"/>
      <c r="K185" s="42"/>
      <c r="L185" s="11"/>
      <c r="M185" s="11"/>
      <c r="N185" s="26"/>
    </row>
    <row r="186" spans="2:14" s="16" customFormat="1">
      <c r="B186" s="38"/>
      <c r="C186" s="38"/>
      <c r="D186" s="11"/>
      <c r="F186" s="22"/>
      <c r="G186" s="21"/>
      <c r="H186" s="21"/>
      <c r="I186" s="21"/>
      <c r="J186" s="21"/>
      <c r="K186" s="42"/>
      <c r="L186" s="11"/>
      <c r="M186" s="11"/>
      <c r="N186" s="26"/>
    </row>
    <row r="187" spans="2:14" s="16" customFormat="1">
      <c r="B187" s="38"/>
      <c r="C187" s="38"/>
      <c r="D187" s="11"/>
      <c r="F187" s="22"/>
      <c r="G187" s="21"/>
      <c r="H187" s="21"/>
      <c r="I187" s="21"/>
      <c r="J187" s="21"/>
      <c r="K187" s="42"/>
      <c r="L187" s="11"/>
      <c r="M187" s="11"/>
      <c r="N187" s="26"/>
    </row>
    <row r="188" spans="2:14" s="16" customFormat="1">
      <c r="B188" s="38"/>
      <c r="C188" s="38"/>
      <c r="D188" s="11"/>
      <c r="F188" s="22"/>
      <c r="G188" s="21"/>
      <c r="H188" s="21"/>
      <c r="I188" s="21"/>
      <c r="J188" s="21"/>
      <c r="K188" s="42"/>
      <c r="L188" s="11"/>
      <c r="M188" s="11"/>
      <c r="N188" s="26"/>
    </row>
    <row r="189" spans="2:14" s="16" customFormat="1">
      <c r="B189" s="38"/>
      <c r="C189" s="38"/>
      <c r="D189" s="11"/>
      <c r="F189" s="22"/>
      <c r="G189" s="21"/>
      <c r="H189" s="21"/>
      <c r="I189" s="21"/>
      <c r="J189" s="21"/>
      <c r="K189" s="42"/>
      <c r="L189" s="11"/>
      <c r="M189" s="11"/>
      <c r="N189" s="26"/>
    </row>
    <row r="190" spans="2:14" s="16" customFormat="1">
      <c r="B190" s="38"/>
      <c r="C190" s="38"/>
      <c r="D190" s="11"/>
      <c r="F190" s="22"/>
      <c r="G190" s="21"/>
      <c r="H190" s="21"/>
      <c r="I190" s="21"/>
      <c r="J190" s="21"/>
      <c r="K190" s="42"/>
      <c r="L190" s="11"/>
      <c r="M190" s="11"/>
      <c r="N190" s="26"/>
    </row>
    <row r="191" spans="2:14" s="16" customFormat="1">
      <c r="B191" s="38"/>
      <c r="C191" s="38"/>
      <c r="D191" s="11"/>
      <c r="F191" s="22"/>
      <c r="G191" s="21"/>
      <c r="H191" s="21"/>
      <c r="I191" s="21"/>
      <c r="J191" s="21"/>
      <c r="K191" s="42"/>
      <c r="L191" s="11"/>
      <c r="M191" s="11"/>
      <c r="N191" s="26"/>
    </row>
    <row r="192" spans="2:14" s="16" customFormat="1">
      <c r="B192" s="38"/>
      <c r="C192" s="38"/>
      <c r="D192" s="11"/>
      <c r="F192" s="22"/>
      <c r="G192" s="21"/>
      <c r="H192" s="21"/>
      <c r="I192" s="21"/>
      <c r="J192" s="21"/>
      <c r="K192" s="42"/>
      <c r="L192" s="11"/>
      <c r="M192" s="11"/>
      <c r="N192" s="26"/>
    </row>
    <row r="193" spans="2:14" s="16" customFormat="1">
      <c r="B193" s="38"/>
      <c r="C193" s="38"/>
      <c r="D193" s="11"/>
      <c r="F193" s="22"/>
      <c r="G193" s="21"/>
      <c r="H193" s="21"/>
      <c r="I193" s="21"/>
      <c r="J193" s="21"/>
      <c r="K193" s="42"/>
      <c r="L193" s="11"/>
      <c r="M193" s="11"/>
      <c r="N193" s="26"/>
    </row>
    <row r="194" spans="2:14" s="16" customFormat="1">
      <c r="B194" s="38"/>
      <c r="C194" s="38"/>
      <c r="D194" s="11"/>
      <c r="F194" s="22"/>
      <c r="G194" s="21"/>
      <c r="H194" s="21"/>
      <c r="I194" s="21"/>
      <c r="J194" s="21"/>
      <c r="K194" s="42"/>
      <c r="L194" s="11"/>
      <c r="M194" s="11"/>
      <c r="N194" s="26"/>
    </row>
    <row r="195" spans="2:14" s="16" customFormat="1">
      <c r="B195" s="38"/>
      <c r="C195" s="38"/>
      <c r="D195" s="11"/>
      <c r="F195" s="22"/>
      <c r="G195" s="21"/>
      <c r="H195" s="21"/>
      <c r="I195" s="21"/>
      <c r="J195" s="21"/>
      <c r="K195" s="42"/>
      <c r="L195" s="11"/>
      <c r="M195" s="11"/>
      <c r="N195" s="26"/>
    </row>
    <row r="196" spans="2:14" s="16" customFormat="1">
      <c r="B196" s="38"/>
      <c r="C196" s="38"/>
      <c r="D196" s="11"/>
      <c r="F196" s="22"/>
      <c r="G196" s="21"/>
      <c r="H196" s="21"/>
      <c r="I196" s="21"/>
      <c r="J196" s="21"/>
      <c r="K196" s="42"/>
      <c r="L196" s="11"/>
      <c r="M196" s="11"/>
      <c r="N196" s="26"/>
    </row>
    <row r="197" spans="2:14" s="16" customFormat="1">
      <c r="B197" s="38"/>
      <c r="C197" s="38"/>
      <c r="D197" s="11"/>
      <c r="F197" s="22"/>
      <c r="G197" s="21"/>
      <c r="H197" s="21"/>
      <c r="I197" s="21"/>
      <c r="J197" s="21"/>
      <c r="K197" s="42"/>
      <c r="L197" s="11"/>
      <c r="M197" s="11"/>
      <c r="N197" s="26"/>
    </row>
    <row r="198" spans="2:14" s="16" customFormat="1">
      <c r="B198" s="38"/>
      <c r="C198" s="38"/>
      <c r="D198" s="11"/>
      <c r="F198" s="22"/>
      <c r="G198" s="21"/>
      <c r="H198" s="21"/>
      <c r="I198" s="21"/>
      <c r="J198" s="21"/>
      <c r="K198" s="42"/>
      <c r="L198" s="11"/>
      <c r="M198" s="11"/>
      <c r="N198" s="26"/>
    </row>
    <row r="199" spans="2:14" s="16" customFormat="1">
      <c r="B199" s="38"/>
      <c r="C199" s="38"/>
      <c r="D199" s="11"/>
      <c r="F199" s="22"/>
      <c r="G199" s="21"/>
      <c r="H199" s="21"/>
      <c r="I199" s="21"/>
      <c r="J199" s="21"/>
      <c r="K199" s="42"/>
      <c r="L199" s="11"/>
      <c r="M199" s="11"/>
      <c r="N199" s="26"/>
    </row>
    <row r="200" spans="2:14" s="16" customFormat="1">
      <c r="B200" s="38"/>
      <c r="C200" s="38"/>
      <c r="D200" s="11"/>
      <c r="F200" s="22"/>
      <c r="G200" s="21"/>
      <c r="H200" s="21"/>
      <c r="I200" s="21"/>
      <c r="J200" s="21"/>
      <c r="K200" s="42"/>
      <c r="L200" s="11"/>
      <c r="M200" s="11"/>
      <c r="N200" s="26"/>
    </row>
    <row r="201" spans="2:14" s="16" customFormat="1">
      <c r="B201" s="38"/>
      <c r="C201" s="38"/>
      <c r="D201" s="11"/>
      <c r="F201" s="22"/>
      <c r="G201" s="21"/>
      <c r="H201" s="21"/>
      <c r="I201" s="21"/>
      <c r="J201" s="21"/>
      <c r="K201" s="42"/>
      <c r="L201" s="11"/>
      <c r="M201" s="11"/>
      <c r="N201" s="26"/>
    </row>
    <row r="202" spans="2:14" s="16" customFormat="1">
      <c r="B202" s="38"/>
      <c r="C202" s="38"/>
      <c r="D202" s="11"/>
      <c r="F202" s="22"/>
      <c r="G202" s="21"/>
      <c r="H202" s="21"/>
      <c r="I202" s="21"/>
      <c r="J202" s="21"/>
      <c r="K202" s="42"/>
      <c r="L202" s="11"/>
      <c r="M202" s="11"/>
      <c r="N202" s="26"/>
    </row>
    <row r="203" spans="2:14" s="16" customFormat="1">
      <c r="B203" s="38"/>
      <c r="C203" s="38"/>
      <c r="D203" s="11"/>
      <c r="F203" s="22"/>
      <c r="G203" s="21"/>
      <c r="H203" s="21"/>
      <c r="I203" s="21"/>
      <c r="J203" s="21"/>
      <c r="K203" s="42"/>
      <c r="L203" s="11"/>
      <c r="M203" s="11"/>
      <c r="N203" s="26"/>
    </row>
    <row r="204" spans="2:14" s="16" customFormat="1">
      <c r="B204" s="38"/>
      <c r="C204" s="38"/>
      <c r="D204" s="11"/>
      <c r="F204" s="22"/>
      <c r="G204" s="21"/>
      <c r="H204" s="21"/>
      <c r="I204" s="21"/>
      <c r="J204" s="21"/>
      <c r="K204" s="42"/>
      <c r="L204" s="11"/>
      <c r="M204" s="11"/>
      <c r="N204" s="26"/>
    </row>
    <row r="205" spans="2:14" s="16" customFormat="1">
      <c r="B205" s="38"/>
      <c r="C205" s="38"/>
      <c r="D205" s="11"/>
      <c r="F205" s="22"/>
      <c r="G205" s="21"/>
      <c r="H205" s="21"/>
      <c r="I205" s="21"/>
      <c r="J205" s="21"/>
      <c r="K205" s="42"/>
      <c r="L205" s="11"/>
      <c r="M205" s="11"/>
      <c r="N205" s="26"/>
    </row>
    <row r="206" spans="2:14" s="16" customFormat="1">
      <c r="B206" s="38"/>
      <c r="C206" s="38"/>
      <c r="D206" s="11"/>
      <c r="F206" s="22"/>
      <c r="G206" s="21"/>
      <c r="H206" s="21"/>
      <c r="I206" s="21"/>
      <c r="J206" s="21"/>
      <c r="K206" s="42"/>
      <c r="L206" s="11"/>
      <c r="M206" s="11"/>
      <c r="N206" s="26"/>
    </row>
    <row r="207" spans="2:14" s="16" customFormat="1">
      <c r="B207" s="38"/>
      <c r="C207" s="38"/>
      <c r="D207" s="11"/>
      <c r="F207" s="22"/>
      <c r="G207" s="21"/>
      <c r="H207" s="21"/>
      <c r="I207" s="21"/>
      <c r="J207" s="21"/>
      <c r="K207" s="42"/>
      <c r="L207" s="11"/>
      <c r="M207" s="11"/>
      <c r="N207" s="26"/>
    </row>
    <row r="208" spans="2:14" s="16" customFormat="1">
      <c r="B208" s="38"/>
      <c r="C208" s="38"/>
      <c r="D208" s="11"/>
      <c r="F208" s="22"/>
      <c r="G208" s="21"/>
      <c r="H208" s="21"/>
      <c r="I208" s="21"/>
      <c r="J208" s="21"/>
      <c r="K208" s="42"/>
      <c r="L208" s="11"/>
      <c r="M208" s="11"/>
      <c r="N208" s="26"/>
    </row>
    <row r="209" spans="2:14" s="16" customFormat="1">
      <c r="B209" s="38"/>
      <c r="C209" s="38"/>
      <c r="D209" s="11"/>
      <c r="F209" s="22"/>
      <c r="G209" s="21"/>
      <c r="H209" s="21"/>
      <c r="I209" s="21"/>
      <c r="J209" s="21"/>
      <c r="K209" s="42"/>
      <c r="L209" s="11"/>
      <c r="M209" s="11"/>
      <c r="N209" s="26"/>
    </row>
    <row r="210" spans="2:14" s="16" customFormat="1">
      <c r="B210" s="38"/>
      <c r="C210" s="38"/>
      <c r="D210" s="11"/>
      <c r="F210" s="22"/>
      <c r="G210" s="21"/>
      <c r="H210" s="21"/>
      <c r="I210" s="21"/>
      <c r="J210" s="21"/>
      <c r="K210" s="42"/>
      <c r="L210" s="11"/>
      <c r="M210" s="11"/>
      <c r="N210" s="26"/>
    </row>
    <row r="211" spans="2:14" s="16" customFormat="1">
      <c r="B211" s="38"/>
      <c r="C211" s="38"/>
      <c r="D211" s="11"/>
      <c r="F211" s="22"/>
      <c r="G211" s="21"/>
      <c r="H211" s="21"/>
      <c r="I211" s="21"/>
      <c r="J211" s="21"/>
      <c r="K211" s="42"/>
      <c r="L211" s="11"/>
      <c r="M211" s="11"/>
      <c r="N211" s="26"/>
    </row>
    <row r="212" spans="2:14" s="16" customFormat="1">
      <c r="B212" s="38"/>
      <c r="C212" s="38"/>
      <c r="D212" s="11"/>
      <c r="F212" s="22"/>
      <c r="G212" s="21"/>
      <c r="H212" s="21"/>
      <c r="I212" s="21"/>
      <c r="J212" s="21"/>
      <c r="K212" s="42"/>
      <c r="L212" s="11"/>
      <c r="M212" s="11"/>
      <c r="N212" s="26"/>
    </row>
    <row r="213" spans="2:14" s="16" customFormat="1">
      <c r="B213" s="38"/>
      <c r="C213" s="38"/>
      <c r="D213" s="11"/>
      <c r="F213" s="22"/>
      <c r="G213" s="21"/>
      <c r="H213" s="21"/>
      <c r="I213" s="21"/>
      <c r="J213" s="21"/>
      <c r="K213" s="42"/>
      <c r="L213" s="11"/>
      <c r="M213" s="11"/>
      <c r="N213" s="26"/>
    </row>
    <row r="214" spans="2:14" s="16" customFormat="1">
      <c r="B214" s="38"/>
      <c r="C214" s="38"/>
      <c r="D214" s="11"/>
      <c r="F214" s="22"/>
      <c r="G214" s="21"/>
      <c r="H214" s="21"/>
      <c r="I214" s="21"/>
      <c r="J214" s="21"/>
      <c r="K214" s="42"/>
      <c r="L214" s="11"/>
      <c r="M214" s="11"/>
      <c r="N214" s="26"/>
    </row>
    <row r="215" spans="2:14" s="16" customFormat="1">
      <c r="B215" s="38"/>
      <c r="C215" s="38"/>
      <c r="D215" s="11"/>
      <c r="F215" s="22"/>
      <c r="G215" s="21"/>
      <c r="H215" s="21"/>
      <c r="I215" s="21"/>
      <c r="J215" s="21"/>
      <c r="K215" s="42"/>
      <c r="L215" s="11"/>
      <c r="M215" s="11"/>
      <c r="N215" s="26"/>
    </row>
    <row r="216" spans="2:14" s="16" customFormat="1">
      <c r="B216" s="38"/>
      <c r="C216" s="38"/>
      <c r="D216" s="11"/>
      <c r="F216" s="22"/>
      <c r="G216" s="21"/>
      <c r="H216" s="21"/>
      <c r="I216" s="21"/>
      <c r="J216" s="21"/>
      <c r="K216" s="42"/>
      <c r="L216" s="11"/>
      <c r="M216" s="11"/>
      <c r="N216" s="26"/>
    </row>
    <row r="217" spans="2:14" s="16" customFormat="1">
      <c r="B217" s="38"/>
      <c r="C217" s="38"/>
      <c r="D217" s="11"/>
      <c r="F217" s="22"/>
      <c r="G217" s="21"/>
      <c r="H217" s="21"/>
      <c r="I217" s="21"/>
      <c r="J217" s="21"/>
      <c r="K217" s="42"/>
      <c r="L217" s="11"/>
      <c r="M217" s="11"/>
      <c r="N217" s="26"/>
    </row>
    <row r="218" spans="2:14" s="16" customFormat="1">
      <c r="B218" s="38"/>
      <c r="C218" s="38"/>
      <c r="D218" s="11"/>
      <c r="F218" s="22"/>
      <c r="G218" s="21"/>
      <c r="H218" s="21"/>
      <c r="I218" s="21"/>
      <c r="J218" s="21"/>
      <c r="K218" s="42"/>
      <c r="L218" s="11"/>
      <c r="M218" s="11"/>
      <c r="N218" s="26"/>
    </row>
    <row r="219" spans="2:14" s="16" customFormat="1">
      <c r="B219" s="38"/>
      <c r="C219" s="38"/>
      <c r="D219" s="11"/>
      <c r="F219" s="22"/>
      <c r="G219" s="21"/>
      <c r="H219" s="21"/>
      <c r="I219" s="21"/>
      <c r="J219" s="21"/>
      <c r="K219" s="42"/>
      <c r="L219" s="11"/>
      <c r="M219" s="11"/>
      <c r="N219" s="26"/>
    </row>
    <row r="220" spans="2:14" s="16" customFormat="1">
      <c r="B220" s="38"/>
      <c r="C220" s="38"/>
      <c r="D220" s="11"/>
      <c r="F220" s="22"/>
      <c r="G220" s="21"/>
      <c r="H220" s="21"/>
      <c r="I220" s="21"/>
      <c r="J220" s="21"/>
      <c r="K220" s="42"/>
      <c r="L220" s="11"/>
      <c r="M220" s="11"/>
      <c r="N220" s="26"/>
    </row>
  </sheetData>
  <sheetProtection sheet="1" objects="1" scenarios="1" insertColumns="0" insertRows="0" insertHyperlinks="0" deleteColumns="0" deleteRows="0" sort="0" autoFilter="0" pivotTables="0"/>
  <protectedRanges>
    <protectedRange sqref="E9:F14 E16:F24 E26:F29 E31:F35 E6:F7" name="Range3"/>
    <protectedRange sqref="N6:O35" name="Range2"/>
    <protectedRange sqref="B3:C3 K3" name="Range1"/>
  </protectedRanges>
  <mergeCells count="7">
    <mergeCell ref="E3:F3"/>
    <mergeCell ref="E1:G2"/>
    <mergeCell ref="K1:L2"/>
    <mergeCell ref="M1:O3"/>
    <mergeCell ref="H3:I3"/>
    <mergeCell ref="H1:I2"/>
    <mergeCell ref="J1:J4"/>
  </mergeCells>
  <conditionalFormatting sqref="M6 M16:M19 M9:M14 M32:M35">
    <cfRule type="cellIs" dxfId="130" priority="173" operator="equal">
      <formula>"No"</formula>
    </cfRule>
    <cfRule type="cellIs" dxfId="129" priority="174" operator="equal">
      <formula>"Yes"</formula>
    </cfRule>
  </conditionalFormatting>
  <conditionalFormatting sqref="M20:M24 M31 M26:M29">
    <cfRule type="cellIs" dxfId="128" priority="93" operator="equal">
      <formula>"No"</formula>
    </cfRule>
    <cfRule type="cellIs" dxfId="127" priority="94" operator="equal">
      <formula>"Yes"</formula>
    </cfRule>
  </conditionalFormatting>
  <conditionalFormatting sqref="E12">
    <cfRule type="expression" dxfId="126" priority="221">
      <formula>$G$12&gt;=$L$12</formula>
    </cfRule>
    <cfRule type="expression" dxfId="125" priority="222">
      <formula>$G$12&lt;$L$12</formula>
    </cfRule>
  </conditionalFormatting>
  <conditionalFormatting sqref="E6">
    <cfRule type="expression" dxfId="124" priority="225">
      <formula>$G$6&gt;=$L$6</formula>
    </cfRule>
    <cfRule type="expression" dxfId="123" priority="226">
      <formula>$G$6&lt;$L$6</formula>
    </cfRule>
  </conditionalFormatting>
  <conditionalFormatting sqref="E9">
    <cfRule type="expression" dxfId="122" priority="227">
      <formula>$G$9&gt;=$L$9</formula>
    </cfRule>
    <cfRule type="expression" dxfId="121" priority="228">
      <formula>$G$9&lt;$L$9</formula>
    </cfRule>
  </conditionalFormatting>
  <conditionalFormatting sqref="E13">
    <cfRule type="expression" dxfId="120" priority="231">
      <formula>$G$13&gt;=$L$13</formula>
    </cfRule>
    <cfRule type="expression" dxfId="119" priority="232">
      <formula>$G$13&lt;$L$13</formula>
    </cfRule>
  </conditionalFormatting>
  <conditionalFormatting sqref="E18">
    <cfRule type="expression" dxfId="118" priority="239">
      <formula>$G$18&gt;=$L$18</formula>
    </cfRule>
    <cfRule type="expression" dxfId="117" priority="240">
      <formula>$G$18&lt;$L$18</formula>
    </cfRule>
  </conditionalFormatting>
  <conditionalFormatting sqref="E19">
    <cfRule type="expression" dxfId="116" priority="241">
      <formula>$G$19&gt;=$L$19</formula>
    </cfRule>
    <cfRule type="expression" dxfId="115" priority="242">
      <formula>$G$19&lt;$L$19</formula>
    </cfRule>
  </conditionalFormatting>
  <conditionalFormatting sqref="E20">
    <cfRule type="expression" dxfId="114" priority="243">
      <formula>$G$20&gt;=$L$20</formula>
    </cfRule>
    <cfRule type="expression" dxfId="113" priority="244">
      <formula>$G$20&lt;$L$20</formula>
    </cfRule>
  </conditionalFormatting>
  <conditionalFormatting sqref="E35">
    <cfRule type="expression" dxfId="112" priority="45">
      <formula>$G$35&gt;=$L$35</formula>
    </cfRule>
    <cfRule type="expression" dxfId="111" priority="46">
      <formula>$G$35&lt;$L$35</formula>
    </cfRule>
  </conditionalFormatting>
  <conditionalFormatting sqref="E14">
    <cfRule type="expression" dxfId="110" priority="37">
      <formula>$G$14&gt;=$L$14</formula>
    </cfRule>
    <cfRule type="expression" dxfId="109" priority="38">
      <formula>$G$14&lt;$L$14</formula>
    </cfRule>
  </conditionalFormatting>
  <conditionalFormatting sqref="E10">
    <cfRule type="expression" dxfId="108" priority="223">
      <formula>$G$10&gt;=$L$10</formula>
    </cfRule>
    <cfRule type="expression" dxfId="107" priority="224">
      <formula>$G$10&lt;$L$10</formula>
    </cfRule>
  </conditionalFormatting>
  <conditionalFormatting sqref="E11">
    <cfRule type="expression" dxfId="106" priority="35">
      <formula>$G$11&gt;=$L$11</formula>
    </cfRule>
    <cfRule type="expression" dxfId="105" priority="36">
      <formula>$G$11&lt;$L$11</formula>
    </cfRule>
  </conditionalFormatting>
  <conditionalFormatting sqref="E16">
    <cfRule type="expression" dxfId="104" priority="229">
      <formula>$G$16&gt;=$L$16</formula>
    </cfRule>
    <cfRule type="expression" dxfId="103" priority="230">
      <formula>$G$16&lt;$L$16</formula>
    </cfRule>
  </conditionalFormatting>
  <conditionalFormatting sqref="E21">
    <cfRule type="expression" dxfId="102" priority="39">
      <formula>$G$21&gt;=$L$21</formula>
    </cfRule>
    <cfRule type="expression" dxfId="101" priority="40">
      <formula>$G$21&lt;$L$21</formula>
    </cfRule>
  </conditionalFormatting>
  <conditionalFormatting sqref="E22">
    <cfRule type="expression" dxfId="100" priority="31">
      <formula>$G$22&gt;=$L$22</formula>
    </cfRule>
    <cfRule type="expression" dxfId="99" priority="32">
      <formula>$G$22&lt;$L$22</formula>
    </cfRule>
  </conditionalFormatting>
  <conditionalFormatting sqref="E23">
    <cfRule type="expression" dxfId="98" priority="29">
      <formula>$G$23&gt;=$L$23</formula>
    </cfRule>
    <cfRule type="expression" dxfId="97" priority="30">
      <formula>$G$23&lt;$L$23</formula>
    </cfRule>
  </conditionalFormatting>
  <conditionalFormatting sqref="E24">
    <cfRule type="expression" dxfId="96" priority="27">
      <formula>$G$24&gt;=$L$24</formula>
    </cfRule>
    <cfRule type="expression" dxfId="95" priority="28">
      <formula>$G$24&lt;$L$24</formula>
    </cfRule>
  </conditionalFormatting>
  <conditionalFormatting sqref="E17">
    <cfRule type="expression" dxfId="94" priority="25">
      <formula>$G$17&gt;=$L$17</formula>
    </cfRule>
    <cfRule type="expression" dxfId="93" priority="26">
      <formula>$G$17&lt;$L$17</formula>
    </cfRule>
  </conditionalFormatting>
  <conditionalFormatting sqref="E26">
    <cfRule type="expression" dxfId="92" priority="253">
      <formula>$G$26&gt;=$L$26</formula>
    </cfRule>
    <cfRule type="expression" dxfId="91" priority="254">
      <formula>$G$26&lt;$L$26</formula>
    </cfRule>
  </conditionalFormatting>
  <conditionalFormatting sqref="E31">
    <cfRule type="expression" dxfId="90" priority="47">
      <formula>$G$31&gt;=$L$31</formula>
    </cfRule>
    <cfRule type="expression" dxfId="89" priority="48">
      <formula>$G$31&lt;$L$31</formula>
    </cfRule>
  </conditionalFormatting>
  <conditionalFormatting sqref="E33">
    <cfRule type="expression" dxfId="88" priority="23">
      <formula>$G$33&gt;=$L$33</formula>
    </cfRule>
    <cfRule type="expression" dxfId="87" priority="24">
      <formula>$G$33&lt;$L$33</formula>
    </cfRule>
  </conditionalFormatting>
  <conditionalFormatting sqref="E34">
    <cfRule type="expression" dxfId="86" priority="21">
      <formula>$G$34&gt;=$L$34</formula>
    </cfRule>
    <cfRule type="expression" dxfId="85" priority="22">
      <formula>$G$34&lt;$L$34</formula>
    </cfRule>
  </conditionalFormatting>
  <conditionalFormatting sqref="E32">
    <cfRule type="expression" dxfId="84" priority="19">
      <formula>$G$32&gt;=$L$32</formula>
    </cfRule>
    <cfRule type="expression" dxfId="83" priority="20">
      <formula>$G$32&lt;$L$32</formula>
    </cfRule>
  </conditionalFormatting>
  <conditionalFormatting sqref="E27">
    <cfRule type="expression" dxfId="82" priority="17">
      <formula>$G$27&gt;=$L$27</formula>
    </cfRule>
    <cfRule type="expression" dxfId="81" priority="18">
      <formula>$G$27&lt;$L$27</formula>
    </cfRule>
  </conditionalFormatting>
  <conditionalFormatting sqref="E28">
    <cfRule type="expression" dxfId="80" priority="15">
      <formula>$G$28&gt;=$L$28</formula>
    </cfRule>
    <cfRule type="expression" dxfId="79" priority="16">
      <formula>$G$28&lt;$L$28</formula>
    </cfRule>
  </conditionalFormatting>
  <conditionalFormatting sqref="E29">
    <cfRule type="expression" dxfId="78" priority="13">
      <formula>$G$29&gt;=$L$29</formula>
    </cfRule>
    <cfRule type="expression" dxfId="77" priority="14">
      <formula>$G$29&lt;$L$29</formula>
    </cfRule>
  </conditionalFormatting>
  <conditionalFormatting sqref="M7">
    <cfRule type="cellIs" dxfId="76" priority="9" operator="equal">
      <formula>"No"</formula>
    </cfRule>
    <cfRule type="cellIs" dxfId="75" priority="10" operator="equal">
      <formula>"Yes"</formula>
    </cfRule>
  </conditionalFormatting>
  <conditionalFormatting sqref="E7">
    <cfRule type="expression" dxfId="74" priority="11">
      <formula>$G$7&gt;=$L$7</formula>
    </cfRule>
    <cfRule type="expression" dxfId="73" priority="12">
      <formula>$G$7&lt;$L$7</formula>
    </cfRule>
  </conditionalFormatting>
  <dataValidations count="1">
    <dataValidation type="list" allowBlank="1" showInputMessage="1" showErrorMessage="1" sqref="E25">
      <formula1>#REF!</formula1>
    </dataValidation>
  </dataValidations>
  <pageMargins left="0.7" right="0.7" top="0.75" bottom="0.75" header="0.3" footer="0.3"/>
  <pageSetup scale="62" fitToHeight="4" orientation="landscape" horizontalDpi="300" verticalDpi="300" r:id="rId1"/>
  <rowBreaks count="3" manualBreakCount="3">
    <brk id="43" min="1" max="14" man="1"/>
    <brk id="54" min="1" max="14" man="1"/>
    <brk id="59" min="1" max="14" man="1"/>
  </rowBreaks>
  <extLst>
    <ext xmlns:x14="http://schemas.microsoft.com/office/spreadsheetml/2009/9/main" uri="{CCE6A557-97BC-4b89-ADB6-D9C93CAAB3DF}">
      <x14:dataValidations xmlns:xm="http://schemas.microsoft.com/office/excel/2006/main" count="14">
        <x14:dataValidation type="list" allowBlank="1" showInputMessage="1" showErrorMessage="1">
          <x14:formula1>
            <xm:f>'04. Job Descriptions'!$E$4:$J$4</xm:f>
          </x14:formula1>
          <xm:sqref>K3</xm:sqref>
        </x14:dataValidation>
        <x14:dataValidation type="list" allowBlank="1" showInputMessage="1" showErrorMessage="1">
          <x14:formula1>
            <xm:f>'08. Definitions'!$M$108:$M$112</xm:f>
          </x14:formula1>
          <xm:sqref>E27</xm:sqref>
        </x14:dataValidation>
        <x14:dataValidation type="list" allowBlank="1" showInputMessage="1" showErrorMessage="1">
          <x14:formula1>
            <xm:f>'08. Definitions'!$M$84:$M$88</xm:f>
          </x14:formula1>
          <xm:sqref>E29</xm:sqref>
        </x14:dataValidation>
        <x14:dataValidation type="list" allowBlank="1" showInputMessage="1" showErrorMessage="1">
          <x14:formula1>
            <xm:f>'08. Definitions'!$M$21:$M$25</xm:f>
          </x14:formula1>
          <xm:sqref>E7</xm:sqref>
        </x14:dataValidation>
        <x14:dataValidation type="list" allowBlank="1" showInputMessage="1" showErrorMessage="1">
          <x14:formula1>
            <xm:f>'08. Definitions'!$M$2:$M$6</xm:f>
          </x14:formula1>
          <xm:sqref>E6</xm:sqref>
        </x14:dataValidation>
        <x14:dataValidation type="list" allowBlank="1" showInputMessage="1" showErrorMessage="1">
          <x14:formula1>
            <xm:f>'08. Definitions'!$M$12:$M$17</xm:f>
          </x14:formula1>
          <xm:sqref>E9</xm:sqref>
        </x14:dataValidation>
        <x14:dataValidation type="list" allowBlank="1" showInputMessage="1" showErrorMessage="1">
          <x14:formula1>
            <xm:f>'08. Definitions'!$M$37:$M$41</xm:f>
          </x14:formula1>
          <xm:sqref>E10</xm:sqref>
        </x14:dataValidation>
        <x14:dataValidation type="list" allowBlank="1" showInputMessage="1" showErrorMessage="1">
          <x14:formula1>
            <xm:f>'08. Definitions'!$M$93:$M$100</xm:f>
          </x14:formula1>
          <xm:sqref>E12</xm:sqref>
        </x14:dataValidation>
        <x14:dataValidation type="list" allowBlank="1" showInputMessage="1" showErrorMessage="1">
          <x14:formula1>
            <xm:f>'08. Definitions'!$M$75:$M$80</xm:f>
          </x14:formula1>
          <xm:sqref>E28</xm:sqref>
        </x14:dataValidation>
        <x14:dataValidation type="list" allowBlank="1" showInputMessage="1" showErrorMessage="1">
          <x14:formula1>
            <xm:f>'08. Definitions'!$M$117:$M$123</xm:f>
          </x14:formula1>
          <xm:sqref>E11</xm:sqref>
        </x14:dataValidation>
        <x14:dataValidation type="list" allowBlank="1" showInputMessage="1" showErrorMessage="1">
          <x14:formula1>
            <xm:f>'08. Definitions'!$M$65:$M$71</xm:f>
          </x14:formula1>
          <xm:sqref>E26</xm:sqref>
        </x14:dataValidation>
        <x14:dataValidation type="list" allowBlank="1" showInputMessage="1" showErrorMessage="1">
          <x14:formula1>
            <xm:f>'08. Definitions'!$M$55:$M$60</xm:f>
          </x14:formula1>
          <xm:sqref>E31:E35</xm:sqref>
        </x14:dataValidation>
        <x14:dataValidation type="list" allowBlank="1" showInputMessage="1" showErrorMessage="1">
          <x14:formula1>
            <xm:f>'08. Definitions'!$M$13:$M$18</xm:f>
          </x14:formula1>
          <xm:sqref>E13:E14</xm:sqref>
        </x14:dataValidation>
        <x14:dataValidation type="list" allowBlank="1" showInputMessage="1" showErrorMessage="1">
          <x14:formula1>
            <xm:f>'08. Definitions'!$M$54:$M$60</xm:f>
          </x14:formula1>
          <xm:sqref>E16:E24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52"/>
  <sheetViews>
    <sheetView topLeftCell="A18" zoomScale="81" zoomScaleNormal="81" workbookViewId="0">
      <selection activeCell="D22" sqref="D22:E22"/>
    </sheetView>
  </sheetViews>
  <sheetFormatPr defaultColWidth="9.21875" defaultRowHeight="14.4"/>
  <cols>
    <col min="1" max="1" width="3.33203125" style="1" customWidth="1"/>
    <col min="2" max="2" width="4.21875" style="33" customWidth="1"/>
    <col min="3" max="3" width="39.109375" style="2" customWidth="1"/>
    <col min="4" max="4" width="8.21875" style="2" customWidth="1"/>
    <col min="5" max="8" width="9.6640625" style="15" customWidth="1"/>
    <col min="9" max="10" width="13.21875" style="15" customWidth="1"/>
    <col min="11" max="11" width="9.44140625" style="15" customWidth="1"/>
    <col min="12" max="12" width="9.5546875" style="15" customWidth="1"/>
    <col min="13" max="13" width="9.77734375" style="15" customWidth="1"/>
    <col min="14" max="14" width="24.5546875" style="15" customWidth="1"/>
    <col min="15" max="15" width="10.33203125" style="15" customWidth="1"/>
    <col min="16" max="16" width="20.77734375" style="15" customWidth="1"/>
    <col min="17" max="17" width="16.77734375" style="15" customWidth="1"/>
    <col min="18" max="18" width="8.6640625" style="15" customWidth="1"/>
    <col min="19" max="19" width="18" style="15" customWidth="1"/>
    <col min="20" max="20" width="15.5546875" style="15" customWidth="1"/>
    <col min="21" max="21" width="14.109375" style="15" customWidth="1"/>
    <col min="22" max="22" width="9.21875" style="15" customWidth="1"/>
    <col min="23" max="24" width="3.77734375" style="15" customWidth="1"/>
    <col min="25" max="25" width="21.77734375" style="23" customWidth="1"/>
    <col min="26" max="26" width="8.6640625" style="23" customWidth="1"/>
    <col min="27" max="27" width="12.5546875" style="23" customWidth="1"/>
    <col min="28" max="16384" width="9.21875" style="1"/>
  </cols>
  <sheetData>
    <row r="1" spans="1:21" ht="21">
      <c r="A1" s="407" t="s">
        <v>630</v>
      </c>
    </row>
    <row r="3" spans="1:21" ht="33.450000000000003" customHeight="1">
      <c r="A3" s="15"/>
      <c r="B3" s="181" t="s">
        <v>185</v>
      </c>
      <c r="C3" s="186"/>
      <c r="D3" s="494" t="str">
        <f>'05. Job Rankings'!B3</f>
        <v>[Name] - [Account]</v>
      </c>
      <c r="E3" s="495"/>
      <c r="F3" s="495"/>
      <c r="G3" s="495"/>
      <c r="H3" s="495"/>
      <c r="I3" s="495"/>
      <c r="J3" s="496"/>
      <c r="K3" s="505" t="s">
        <v>634</v>
      </c>
      <c r="L3" s="506"/>
      <c r="M3" s="506"/>
      <c r="N3" s="506"/>
      <c r="O3" s="506"/>
      <c r="P3" s="507"/>
      <c r="Q3" s="503" t="s">
        <v>189</v>
      </c>
      <c r="R3" s="503"/>
      <c r="S3" s="503"/>
      <c r="T3" s="502" t="s">
        <v>191</v>
      </c>
      <c r="U3" s="502"/>
    </row>
    <row r="4" spans="1:21" ht="55.05" customHeight="1">
      <c r="A4" s="24"/>
      <c r="B4" s="481" t="s">
        <v>112</v>
      </c>
      <c r="C4" s="482" t="s">
        <v>41</v>
      </c>
      <c r="D4" s="504" t="s">
        <v>183</v>
      </c>
      <c r="E4" s="348" t="str">
        <f>'04. Job Descriptions'!E3</f>
        <v>Associate Business Analyst</v>
      </c>
      <c r="F4" s="348" t="str">
        <f>'04. Job Descriptions'!F3</f>
        <v>Business Analyst</v>
      </c>
      <c r="G4" s="348" t="str">
        <f>'04. Job Descriptions'!G3</f>
        <v>Senior Business Analyst</v>
      </c>
      <c r="H4" s="348" t="str">
        <f>'04. Job Descriptions'!H3</f>
        <v>Business Analysis Leader</v>
      </c>
      <c r="I4" s="348" t="str">
        <f>'04. Job Descriptions'!I3</f>
        <v>Senior Business Analysis Consultant / Leader</v>
      </c>
      <c r="J4" s="348" t="str">
        <f>'04. Job Descriptions'!J3</f>
        <v>Principal Business Analysis Consultant / Leader</v>
      </c>
      <c r="K4" s="487" t="str">
        <f>'05. Job Rankings'!E3</f>
        <v>YOU ACHIEVED RANK: Senior Business Analyst-BANE03</v>
      </c>
      <c r="L4" s="488"/>
      <c r="M4" s="488"/>
      <c r="N4" s="489"/>
      <c r="O4" s="483" t="s">
        <v>635</v>
      </c>
      <c r="P4" s="484"/>
      <c r="Q4" s="478" t="s">
        <v>178</v>
      </c>
      <c r="R4" s="479"/>
      <c r="S4" s="480"/>
      <c r="T4" s="230" t="str">
        <f>IF(T6&gt;='04. Job Descriptions'!R4,'04. Job Descriptions'!R2&amp;"-"&amp;'04. Job Descriptions'!R3,IF(T6&gt;='04. Job Descriptions'!Q4,'04. Job Descriptions'!Q2&amp;"-"&amp;'04. Job Descriptions'!Q3,IF(T6&gt;='04. Job Descriptions'!P4,'04. Job Descriptions'!P2&amp;"-"&amp;'04. Job Descriptions'!P3,IF(T6&gt;='04. Job Descriptions'!O4,'04. Job Descriptions'!O2&amp;"-"&amp;'04. Job Descriptions'!O3,IF(T6&gt;='04. Job Descriptions'!N4,'04. Job Descriptions'!N2&amp;"-"&amp;'04. Job Descriptions'!N3,IF(T6&gt;='04. Job Descriptions'!M4,'04. Job Descriptions'!M2&amp;"-"&amp;'04. Job Descriptions'!M3,"Not Ranked"))))))</f>
        <v>Business Analysis Leader-BANE04</v>
      </c>
      <c r="U4" s="230" t="str">
        <f>IF(U6&gt;='04. Job Descriptions'!R4,'04. Job Descriptions'!R2&amp;"-"&amp;'04. Job Descriptions'!R3,IF(U6&gt;='04. Job Descriptions'!Q4,'04. Job Descriptions'!Q2&amp;"-"&amp;'04. Job Descriptions'!Q3,IF(U6&gt;='04. Job Descriptions'!P4,'04. Job Descriptions'!P2&amp;"-"&amp;'04. Job Descriptions'!P3,IF(U6&gt;='04. Job Descriptions'!O4,'04. Job Descriptions'!O2&amp;"-"&amp;'04. Job Descriptions'!O3,IF(U6&gt;='04. Job Descriptions'!N4,'04. Job Descriptions'!N2&amp;"-"&amp;'04. Job Descriptions'!N3,IF(U6&gt;='04. Job Descriptions'!M4,'04. Job Descriptions'!M2&amp;"-"&amp;'04. Job Descriptions'!M3,"Not Ranked"))))))</f>
        <v>Senior Business Analysis Consultant / Leader-BANE05</v>
      </c>
    </row>
    <row r="5" spans="1:21" ht="42" customHeight="1">
      <c r="A5" s="15"/>
      <c r="B5" s="481"/>
      <c r="C5" s="482"/>
      <c r="D5" s="504"/>
      <c r="E5" s="348" t="str">
        <f>'04. Job Descriptions'!M3</f>
        <v>BANE01</v>
      </c>
      <c r="F5" s="348" t="str">
        <f>'04. Job Descriptions'!N3</f>
        <v>BANE02</v>
      </c>
      <c r="G5" s="348" t="str">
        <f>'04. Job Descriptions'!O3</f>
        <v>BANE03</v>
      </c>
      <c r="H5" s="348" t="str">
        <f>'04. Job Descriptions'!P3</f>
        <v>BANE04</v>
      </c>
      <c r="I5" s="348" t="str">
        <f>'04. Job Descriptions'!Q3</f>
        <v>BANE05</v>
      </c>
      <c r="J5" s="348" t="str">
        <f>'04. Job Descriptions'!R3</f>
        <v>BANE06</v>
      </c>
      <c r="K5" s="161" t="s">
        <v>372</v>
      </c>
      <c r="L5" s="161" t="s">
        <v>237</v>
      </c>
      <c r="M5" s="485" t="str">
        <f>"Needs to be improved items as below to reach the " &amp;K4</f>
        <v>Needs to be improved items as below to reach the YOU ACHIEVED RANK: Senior Business Analyst-BANE03</v>
      </c>
      <c r="N5" s="486"/>
      <c r="O5" s="237" t="s">
        <v>636</v>
      </c>
      <c r="P5" s="347" t="s">
        <v>637</v>
      </c>
      <c r="Q5" s="171" t="str">
        <f>"REQUIRED SCORE FOR " &amp; '05. Job Rankings'!K3</f>
        <v>REQUIRED SCORE FOR BANE04</v>
      </c>
      <c r="R5" s="497" t="str">
        <f>"Needs to be improved items as below :"&amp; '05. Job Rankings'!K3</f>
        <v>Needs to be improved items as below :BANE04</v>
      </c>
      <c r="S5" s="497"/>
      <c r="T5" s="229" t="str">
        <f>"SCORE of LOWER RANK"</f>
        <v>SCORE of LOWER RANK</v>
      </c>
      <c r="U5" s="229" t="str">
        <f>"SCORE of HIGHER RANK"</f>
        <v>SCORE of HIGHER RANK</v>
      </c>
    </row>
    <row r="6" spans="1:21" ht="22.05" customHeight="1">
      <c r="A6" s="15"/>
      <c r="B6" s="481"/>
      <c r="C6" s="482"/>
      <c r="D6" s="182">
        <f>SUM(D7:D19)</f>
        <v>1</v>
      </c>
      <c r="E6" s="391">
        <f t="shared" ref="E6:I6" si="0">SUM(E7:E19)</f>
        <v>25.733333333333331</v>
      </c>
      <c r="F6" s="391">
        <f t="shared" si="0"/>
        <v>34.233333333333341</v>
      </c>
      <c r="G6" s="391">
        <f t="shared" si="0"/>
        <v>49.916666666666657</v>
      </c>
      <c r="H6" s="391">
        <f t="shared" si="0"/>
        <v>67.816666666666677</v>
      </c>
      <c r="I6" s="391">
        <f t="shared" si="0"/>
        <v>81</v>
      </c>
      <c r="J6" s="391">
        <f>SUM(J7:J19)</f>
        <v>100</v>
      </c>
      <c r="K6" s="392">
        <f xml:space="preserve"> SUM(K7:K19)</f>
        <v>70.316666666666677</v>
      </c>
      <c r="L6" s="399">
        <f>K6+O6</f>
        <v>70.316666666666677</v>
      </c>
      <c r="M6" s="162" t="s">
        <v>638</v>
      </c>
      <c r="N6" s="162" t="s">
        <v>177</v>
      </c>
      <c r="O6" s="392">
        <f>IF(SUM(O7:O19)&gt;5,5, SUM(O7:O19))</f>
        <v>0</v>
      </c>
      <c r="P6" s="162"/>
      <c r="Q6" s="172">
        <f>SUM(Q7:Q19)</f>
        <v>67.816666666666677</v>
      </c>
      <c r="R6" s="162" t="s">
        <v>638</v>
      </c>
      <c r="S6" s="162" t="s">
        <v>177</v>
      </c>
      <c r="T6" s="95">
        <f>SUM(T7:T19)</f>
        <v>67.816666666666677</v>
      </c>
      <c r="U6" s="95">
        <f>SUM(U7:U19)</f>
        <v>81</v>
      </c>
    </row>
    <row r="7" spans="1:21" ht="22.05" customHeight="1">
      <c r="A7" s="15"/>
      <c r="B7" s="296">
        <v>1</v>
      </c>
      <c r="C7" s="400" t="str">
        <f>'04. Job Descriptions'!B6</f>
        <v>Roles and Responsibilities</v>
      </c>
      <c r="D7" s="183">
        <f>'04. Job Descriptions'!C5</f>
        <v>0.15</v>
      </c>
      <c r="E7" s="393">
        <f>'04. Job Descriptions'!M5</f>
        <v>2.4</v>
      </c>
      <c r="F7" s="393">
        <f>'04. Job Descriptions'!N5</f>
        <v>4.8</v>
      </c>
      <c r="G7" s="393">
        <f>'04. Job Descriptions'!O5</f>
        <v>7.1999999999999993</v>
      </c>
      <c r="H7" s="393">
        <f>'04. Job Descriptions'!P5</f>
        <v>10.35</v>
      </c>
      <c r="I7" s="393">
        <f>'04. Job Descriptions'!Q5</f>
        <v>11.85</v>
      </c>
      <c r="J7" s="393">
        <f>'04. Job Descriptions'!R5</f>
        <v>15</v>
      </c>
      <c r="K7" s="394">
        <f>'05. Job Rankings'!G5</f>
        <v>10.35</v>
      </c>
      <c r="L7" s="65" t="str">
        <f>IF(K7&gt;=I7,$I$5,IF(K7&gt;=H7,$H$5,IF(K7&gt;=G7,$G$5,IF(K7&gt;=F7,$F$5,IF(K7&gt;=E7,$E$5,$J$5)))))</f>
        <v>BANE04</v>
      </c>
      <c r="M7" s="65" t="str">
        <f>IF(T7&gt;K7,"O","")</f>
        <v/>
      </c>
      <c r="N7" s="65"/>
      <c r="O7" s="395"/>
      <c r="P7" s="65"/>
      <c r="Q7" s="173">
        <f>'05. Job Rankings'!L5</f>
        <v>10.35</v>
      </c>
      <c r="R7" s="168" t="str">
        <f t="shared" ref="R7:R19" si="1">IF(Q7&gt;K7,"O","")</f>
        <v/>
      </c>
      <c r="S7" s="169"/>
      <c r="T7" s="65">
        <f>IF($K$6&gt;$I$6,$I7,IF($K$6&gt;$H$6,$H7,IF($K$6&gt;$G$6,$G7,IF($K$6&gt;$F$6,$F7,$E7))))</f>
        <v>10.35</v>
      </c>
      <c r="U7" s="65">
        <f>IF($K$6&lt;$E$6,$E7,IF($K$6&lt;$F$6,$F7,IF($K$6&lt;$G$6,$G7,IF($K$6&lt;$H$6,$H7,IF($K$6&lt;$I$6,$I7,$J7)))))</f>
        <v>11.85</v>
      </c>
    </row>
    <row r="8" spans="1:21" ht="22.05" customHeight="1">
      <c r="A8" s="15"/>
      <c r="B8" s="296">
        <v>2</v>
      </c>
      <c r="C8" s="401" t="str">
        <f>'04. Job Descriptions'!B10</f>
        <v>Subordinate Development</v>
      </c>
      <c r="D8" s="183">
        <f>'04. Job Descriptions'!C10</f>
        <v>0.03</v>
      </c>
      <c r="E8" s="393">
        <f>'04. Job Descriptions'!M10</f>
        <v>0</v>
      </c>
      <c r="F8" s="393">
        <f>'04. Job Descriptions'!N10</f>
        <v>0</v>
      </c>
      <c r="G8" s="393">
        <f>'04. Job Descriptions'!O10</f>
        <v>0.75</v>
      </c>
      <c r="H8" s="393">
        <f>'04. Job Descriptions'!P10</f>
        <v>1.5</v>
      </c>
      <c r="I8" s="393">
        <f>'04. Job Descriptions'!Q10</f>
        <v>2.25</v>
      </c>
      <c r="J8" s="393">
        <f>'04. Job Descriptions'!R10</f>
        <v>3</v>
      </c>
      <c r="K8" s="394">
        <f>'05. Job Rankings'!G10</f>
        <v>1.5</v>
      </c>
      <c r="L8" s="65" t="str">
        <f t="shared" ref="L8:L19" si="2">IF(K8&gt;=I8,$I$5,IF(K8&gt;=H8,$H$5,IF(K8&gt;=G8,$G$5,IF(K8&gt;=F8,$F$5,IF(K8&gt;=E8,$E$5,$J$5)))))</f>
        <v>BANE04</v>
      </c>
      <c r="M8" s="65" t="str">
        <f t="shared" ref="M8:M19" si="3">IF(T8&gt;K8,"O","")</f>
        <v/>
      </c>
      <c r="N8" s="65"/>
      <c r="O8" s="395"/>
      <c r="P8" s="65"/>
      <c r="Q8" s="173">
        <f>'05. Job Rankings'!L10</f>
        <v>1.5</v>
      </c>
      <c r="R8" s="168" t="str">
        <f t="shared" si="1"/>
        <v/>
      </c>
      <c r="S8" s="169"/>
      <c r="T8" s="65">
        <f t="shared" ref="T8:T19" si="4">IF($K$6&gt;$I$6,$I8,IF($K$6&gt;$H$6,$H8,IF($K$6&gt;$G$6,$G8,IF($K$6&gt;$F$6,$F8,$E8))))</f>
        <v>1.5</v>
      </c>
      <c r="U8" s="65">
        <f t="shared" ref="U8:U19" si="5">IF($K$6&lt;$E$6,$E8,IF($K$6&lt;$F$6,$F8,IF($K$6&lt;$G$6,$G8,IF($K$6&lt;$H$6,$H8,IF($K$6&lt;$I$6,$I8,$J8)))))</f>
        <v>2.25</v>
      </c>
    </row>
    <row r="9" spans="1:21" ht="22.05" customHeight="1">
      <c r="A9" s="15"/>
      <c r="B9" s="296">
        <v>3</v>
      </c>
      <c r="C9" s="401" t="str">
        <f>'04. Job Descriptions'!B9</f>
        <v>Business Analysis Experiences (*)</v>
      </c>
      <c r="D9" s="183">
        <f>'04. Job Descriptions'!C9</f>
        <v>0.05</v>
      </c>
      <c r="E9" s="393">
        <f>'04. Job Descriptions'!M9</f>
        <v>0</v>
      </c>
      <c r="F9" s="393">
        <f>'04. Job Descriptions'!N9</f>
        <v>1</v>
      </c>
      <c r="G9" s="393">
        <f>'04. Job Descriptions'!O9</f>
        <v>2</v>
      </c>
      <c r="H9" s="393">
        <f>'04. Job Descriptions'!P9</f>
        <v>3.0000000000000004</v>
      </c>
      <c r="I9" s="393">
        <f>'04. Job Descriptions'!Q9</f>
        <v>4</v>
      </c>
      <c r="J9" s="393">
        <f>'04. Job Descriptions'!R9</f>
        <v>5</v>
      </c>
      <c r="K9" s="394">
        <f>'05. Job Rankings'!G9</f>
        <v>3.0000000000000004</v>
      </c>
      <c r="L9" s="65" t="str">
        <f t="shared" si="2"/>
        <v>BANE04</v>
      </c>
      <c r="M9" s="65" t="str">
        <f t="shared" si="3"/>
        <v/>
      </c>
      <c r="N9" s="65"/>
      <c r="O9" s="395"/>
      <c r="P9" s="65"/>
      <c r="Q9" s="173">
        <f>'05. Job Rankings'!L9</f>
        <v>3.0000000000000004</v>
      </c>
      <c r="R9" s="168" t="str">
        <f t="shared" si="1"/>
        <v/>
      </c>
      <c r="S9" s="169"/>
      <c r="T9" s="65">
        <f t="shared" si="4"/>
        <v>3.0000000000000004</v>
      </c>
      <c r="U9" s="65">
        <f t="shared" si="5"/>
        <v>4</v>
      </c>
    </row>
    <row r="10" spans="1:21" ht="22.05" customHeight="1">
      <c r="A10" s="15"/>
      <c r="B10" s="296">
        <v>4</v>
      </c>
      <c r="C10" s="401" t="str">
        <f>'04. Job Descriptions'!B28</f>
        <v>Business Analysis Certifications</v>
      </c>
      <c r="D10" s="183">
        <f>'04. Job Descriptions'!C28+'04. Job Descriptions'!C27</f>
        <v>0.04</v>
      </c>
      <c r="E10" s="393">
        <f>'04. Job Descriptions'!M28+'04. Job Descriptions'!M27</f>
        <v>2.5</v>
      </c>
      <c r="F10" s="393">
        <f>'04. Job Descriptions'!N28+'04. Job Descriptions'!N27</f>
        <v>2.5</v>
      </c>
      <c r="G10" s="393">
        <f>'04. Job Descriptions'!O28+'04. Job Descriptions'!O27</f>
        <v>3</v>
      </c>
      <c r="H10" s="393">
        <f>'04. Job Descriptions'!P28+'04. Job Descriptions'!P27</f>
        <v>3</v>
      </c>
      <c r="I10" s="393">
        <f>'04. Job Descriptions'!Q28+'04. Job Descriptions'!Q27</f>
        <v>3.5</v>
      </c>
      <c r="J10" s="393">
        <f>'04. Job Descriptions'!R28+'04. Job Descriptions'!R27</f>
        <v>4</v>
      </c>
      <c r="K10" s="394">
        <f>'05. Job Rankings'!G28+'05. Job Rankings'!G27</f>
        <v>3</v>
      </c>
      <c r="L10" s="65" t="str">
        <f t="shared" si="2"/>
        <v>BANE04</v>
      </c>
      <c r="M10" s="65" t="str">
        <f t="shared" si="3"/>
        <v/>
      </c>
      <c r="N10" s="65"/>
      <c r="O10" s="395"/>
      <c r="P10" s="65"/>
      <c r="Q10" s="173">
        <f>'05. Job Rankings'!L27+'05. Job Rankings'!L28</f>
        <v>3</v>
      </c>
      <c r="R10" s="168" t="str">
        <f t="shared" si="1"/>
        <v/>
      </c>
      <c r="S10" s="169"/>
      <c r="T10" s="65">
        <f t="shared" si="4"/>
        <v>3</v>
      </c>
      <c r="U10" s="65">
        <f t="shared" si="5"/>
        <v>3.5</v>
      </c>
    </row>
    <row r="11" spans="1:21" ht="22.05" customHeight="1">
      <c r="A11" s="15"/>
      <c r="B11" s="296">
        <v>5</v>
      </c>
      <c r="C11" s="401" t="str">
        <f>'04. Job Descriptions'!B11</f>
        <v>Number of Projects/Phases</v>
      </c>
      <c r="D11" s="183">
        <f>'04. Job Descriptions'!C11</f>
        <v>0.03</v>
      </c>
      <c r="E11" s="393">
        <f>'04. Job Descriptions'!M11</f>
        <v>0</v>
      </c>
      <c r="F11" s="393">
        <f>'04. Job Descriptions'!N11</f>
        <v>0.6</v>
      </c>
      <c r="G11" s="393">
        <f>'04. Job Descriptions'!O11</f>
        <v>1.2</v>
      </c>
      <c r="H11" s="393">
        <f>'04. Job Descriptions'!P11</f>
        <v>1.7999999999999998</v>
      </c>
      <c r="I11" s="393">
        <f>'04. Job Descriptions'!Q11</f>
        <v>2.4</v>
      </c>
      <c r="J11" s="393">
        <f>'04. Job Descriptions'!R11</f>
        <v>3</v>
      </c>
      <c r="K11" s="394">
        <f>'05. Job Rankings'!G11</f>
        <v>2.4</v>
      </c>
      <c r="L11" s="65" t="str">
        <f t="shared" si="2"/>
        <v>BANE05</v>
      </c>
      <c r="M11" s="65" t="str">
        <f t="shared" si="3"/>
        <v/>
      </c>
      <c r="N11" s="65"/>
      <c r="O11" s="395"/>
      <c r="P11" s="65"/>
      <c r="Q11" s="173">
        <f>'05. Job Rankings'!L11</f>
        <v>1.7999999999999998</v>
      </c>
      <c r="R11" s="168" t="str">
        <f t="shared" si="1"/>
        <v/>
      </c>
      <c r="S11" s="169"/>
      <c r="T11" s="65">
        <f t="shared" si="4"/>
        <v>1.7999999999999998</v>
      </c>
      <c r="U11" s="65">
        <f t="shared" si="5"/>
        <v>2.4</v>
      </c>
    </row>
    <row r="12" spans="1:21" ht="22.05" customHeight="1">
      <c r="B12" s="296">
        <v>6</v>
      </c>
      <c r="C12" s="401" t="s">
        <v>235</v>
      </c>
      <c r="D12" s="183">
        <f>SUM('04. Job Descriptions'!C12,'04. Job Descriptions'!C14)</f>
        <v>0.04</v>
      </c>
      <c r="E12" s="393">
        <f>SUM('04. Job Descriptions'!M12,'04. Job Descriptions'!M14)</f>
        <v>0</v>
      </c>
      <c r="F12" s="393">
        <f>SUM('04. Job Descriptions'!N12,'04. Job Descriptions'!N14)</f>
        <v>0</v>
      </c>
      <c r="G12" s="393">
        <f>SUM('04. Job Descriptions'!O12,'04. Job Descriptions'!O14)</f>
        <v>1</v>
      </c>
      <c r="H12" s="393">
        <f>SUM('04. Job Descriptions'!P12,'04. Job Descriptions'!P14)</f>
        <v>2</v>
      </c>
      <c r="I12" s="393">
        <f>SUM('04. Job Descriptions'!Q12,'04. Job Descriptions'!Q14)</f>
        <v>3</v>
      </c>
      <c r="J12" s="393">
        <f>SUM('04. Job Descriptions'!R12,'04. Job Descriptions'!R14)</f>
        <v>4</v>
      </c>
      <c r="K12" s="394">
        <f>SUM('05. Job Rankings'!G12,'05. Job Rankings'!G14)</f>
        <v>3</v>
      </c>
      <c r="L12" s="65" t="str">
        <f t="shared" si="2"/>
        <v>BANE05</v>
      </c>
      <c r="M12" s="65" t="str">
        <f t="shared" si="3"/>
        <v/>
      </c>
      <c r="N12" s="65"/>
      <c r="O12" s="395"/>
      <c r="P12" s="65"/>
      <c r="Q12" s="173">
        <f>SUM('05. Job Rankings'!L12,'05. Job Rankings'!L14)</f>
        <v>2</v>
      </c>
      <c r="R12" s="168" t="str">
        <f t="shared" si="1"/>
        <v/>
      </c>
      <c r="S12" s="169"/>
      <c r="T12" s="65">
        <f t="shared" si="4"/>
        <v>2</v>
      </c>
      <c r="U12" s="65">
        <f t="shared" si="5"/>
        <v>3</v>
      </c>
    </row>
    <row r="13" spans="1:21" ht="22.05" customHeight="1">
      <c r="B13" s="296">
        <v>7</v>
      </c>
      <c r="C13" s="401" t="str">
        <f>'04. Job Descriptions'!B26</f>
        <v>Foreign Language</v>
      </c>
      <c r="D13" s="183">
        <f>'04. Job Descriptions'!C26</f>
        <v>0.05</v>
      </c>
      <c r="E13" s="393">
        <f>'04. Job Descriptions'!M26</f>
        <v>2</v>
      </c>
      <c r="F13" s="393">
        <f>'04. Job Descriptions'!N26</f>
        <v>3.0000000000000004</v>
      </c>
      <c r="G13" s="393">
        <f>'04. Job Descriptions'!O26</f>
        <v>4</v>
      </c>
      <c r="H13" s="393">
        <f>'04. Job Descriptions'!P26</f>
        <v>5</v>
      </c>
      <c r="I13" s="393">
        <f>'04. Job Descriptions'!Q26</f>
        <v>5</v>
      </c>
      <c r="J13" s="393">
        <f>'04. Job Descriptions'!R26</f>
        <v>5</v>
      </c>
      <c r="K13" s="394">
        <f>'05. Job Rankings'!G26</f>
        <v>5</v>
      </c>
      <c r="L13" s="65" t="str">
        <f t="shared" si="2"/>
        <v>BANE05</v>
      </c>
      <c r="M13" s="65" t="str">
        <f t="shared" si="3"/>
        <v/>
      </c>
      <c r="N13" s="65"/>
      <c r="O13" s="395"/>
      <c r="P13" s="65"/>
      <c r="Q13" s="173">
        <f>'05. Job Rankings'!L26</f>
        <v>5</v>
      </c>
      <c r="R13" s="168" t="str">
        <f t="shared" si="1"/>
        <v/>
      </c>
      <c r="S13" s="169"/>
      <c r="T13" s="65">
        <f t="shared" si="4"/>
        <v>5</v>
      </c>
      <c r="U13" s="65">
        <f t="shared" si="5"/>
        <v>5</v>
      </c>
    </row>
    <row r="14" spans="1:21" ht="22.05" customHeight="1">
      <c r="B14" s="296">
        <v>8</v>
      </c>
      <c r="C14" s="401" t="s">
        <v>661</v>
      </c>
      <c r="D14" s="183">
        <f>SUM('04. Job Descriptions'!C16:C21)</f>
        <v>0.34</v>
      </c>
      <c r="E14" s="393">
        <f>SUM('04. Job Descriptions'!M16:M21)</f>
        <v>13.600000000000001</v>
      </c>
      <c r="F14" s="393">
        <f>SUM('04. Job Descriptions'!N16:N21)</f>
        <v>15.600000000000001</v>
      </c>
      <c r="G14" s="393">
        <f>SUM('04. Job Descriptions'!O16:O21)</f>
        <v>19</v>
      </c>
      <c r="H14" s="393">
        <f>SUM('04. Job Descriptions'!P16:P21)</f>
        <v>24.200000000000003</v>
      </c>
      <c r="I14" s="393">
        <f>SUM('04. Job Descriptions'!Q16:Q21)</f>
        <v>27.200000000000003</v>
      </c>
      <c r="J14" s="393">
        <f>SUM('04. Job Descriptions'!R16:R21)</f>
        <v>34</v>
      </c>
      <c r="K14" s="394">
        <f>SUM('05. Job Rankings'!G16:G21)</f>
        <v>22.6</v>
      </c>
      <c r="L14" s="65" t="str">
        <f t="shared" si="2"/>
        <v>BANE03</v>
      </c>
      <c r="M14" s="65" t="str">
        <f t="shared" si="3"/>
        <v>O</v>
      </c>
      <c r="N14" s="65"/>
      <c r="O14" s="395"/>
      <c r="P14" s="65"/>
      <c r="Q14" s="173">
        <f>SUM('05. Job Rankings'!L16:L21)</f>
        <v>24.200000000000003</v>
      </c>
      <c r="R14" s="168" t="str">
        <f t="shared" si="1"/>
        <v>O</v>
      </c>
      <c r="S14" s="169"/>
      <c r="T14" s="65">
        <f t="shared" si="4"/>
        <v>24.200000000000003</v>
      </c>
      <c r="U14" s="65">
        <f t="shared" si="5"/>
        <v>27.200000000000003</v>
      </c>
    </row>
    <row r="15" spans="1:21" ht="22.05" customHeight="1">
      <c r="B15" s="296">
        <v>9</v>
      </c>
      <c r="C15" s="401" t="str">
        <f>'04. Job Descriptions'!B22</f>
        <v>Business Acumen and Mindsets</v>
      </c>
      <c r="D15" s="183">
        <f>'04. Job Descriptions'!C22</f>
        <v>0.03</v>
      </c>
      <c r="E15" s="393">
        <f>'04. Job Descriptions'!M22</f>
        <v>1.2</v>
      </c>
      <c r="F15" s="393">
        <f>'04. Job Descriptions'!N22</f>
        <v>1.7999999999999998</v>
      </c>
      <c r="G15" s="393">
        <f>'04. Job Descriptions'!O22</f>
        <v>1.7999999999999998</v>
      </c>
      <c r="H15" s="393">
        <f>'04. Job Descriptions'!P22</f>
        <v>2.4</v>
      </c>
      <c r="I15" s="393">
        <f>'04. Job Descriptions'!Q22</f>
        <v>2.4</v>
      </c>
      <c r="J15" s="393">
        <f>'04. Job Descriptions'!R22</f>
        <v>3</v>
      </c>
      <c r="K15" s="394">
        <f>'05. Job Rankings'!G22</f>
        <v>2.4</v>
      </c>
      <c r="L15" s="65" t="str">
        <f t="shared" si="2"/>
        <v>BANE05</v>
      </c>
      <c r="M15" s="65" t="str">
        <f t="shared" si="3"/>
        <v/>
      </c>
      <c r="N15" s="65"/>
      <c r="O15" s="395"/>
      <c r="P15" s="65"/>
      <c r="Q15" s="173">
        <f>'05. Job Rankings'!L22</f>
        <v>2.4</v>
      </c>
      <c r="R15" s="168" t="str">
        <f t="shared" si="1"/>
        <v/>
      </c>
      <c r="S15" s="169"/>
      <c r="T15" s="65">
        <f t="shared" si="4"/>
        <v>2.4</v>
      </c>
      <c r="U15" s="65">
        <f t="shared" si="5"/>
        <v>2.4</v>
      </c>
    </row>
    <row r="16" spans="1:21" ht="22.05" customHeight="1">
      <c r="B16" s="296">
        <v>10</v>
      </c>
      <c r="C16" s="401" t="s">
        <v>493</v>
      </c>
      <c r="D16" s="183">
        <f>SUM('04. Job Descriptions'!C23:C24)</f>
        <v>0.03</v>
      </c>
      <c r="E16" s="393">
        <f>SUM('04. Job Descriptions'!M23:M24)</f>
        <v>1.2000000000000002</v>
      </c>
      <c r="F16" s="393">
        <f>SUM('04. Job Descriptions'!N23:N24)</f>
        <v>1.6</v>
      </c>
      <c r="G16" s="393">
        <f>SUM('04. Job Descriptions'!O23:O24)</f>
        <v>1.7999999999999998</v>
      </c>
      <c r="H16" s="393">
        <f>SUM('04. Job Descriptions'!P23:P24)</f>
        <v>2.4000000000000004</v>
      </c>
      <c r="I16" s="393">
        <f>SUM('04. Job Descriptions'!Q23:Q24)</f>
        <v>2.4000000000000004</v>
      </c>
      <c r="J16" s="393">
        <f>SUM('04. Job Descriptions'!R23:R24)</f>
        <v>3</v>
      </c>
      <c r="K16" s="394">
        <f>SUM('05. Job Rankings'!G23:G24)</f>
        <v>2.4000000000000004</v>
      </c>
      <c r="L16" s="65" t="str">
        <f t="shared" si="2"/>
        <v>BANE05</v>
      </c>
      <c r="M16" s="65" t="str">
        <f t="shared" si="3"/>
        <v/>
      </c>
      <c r="N16" s="65"/>
      <c r="O16" s="395"/>
      <c r="P16" s="65"/>
      <c r="Q16" s="173">
        <f>SUM('05. Job Rankings'!L23:L24)</f>
        <v>2.4000000000000004</v>
      </c>
      <c r="R16" s="168" t="str">
        <f t="shared" si="1"/>
        <v/>
      </c>
      <c r="S16" s="169"/>
      <c r="T16" s="65">
        <f t="shared" si="4"/>
        <v>2.4000000000000004</v>
      </c>
      <c r="U16" s="65">
        <f t="shared" si="5"/>
        <v>2.4000000000000004</v>
      </c>
    </row>
    <row r="17" spans="1:37" ht="22.05" customHeight="1">
      <c r="A17" s="24"/>
      <c r="B17" s="296">
        <v>11</v>
      </c>
      <c r="C17" s="400" t="str">
        <f>'04. Job Descriptions'!B30</f>
        <v>Non-Engineering and Softskills</v>
      </c>
      <c r="D17" s="183">
        <f>'04. Job Descriptions'!C30</f>
        <v>0.1</v>
      </c>
      <c r="E17" s="393">
        <f>'04. Job Descriptions'!M30</f>
        <v>2.5</v>
      </c>
      <c r="F17" s="393">
        <f>'04. Job Descriptions'!N30</f>
        <v>3</v>
      </c>
      <c r="G17" s="393">
        <f>'04. Job Descriptions'!O30</f>
        <v>5</v>
      </c>
      <c r="H17" s="393">
        <f>'04. Job Descriptions'!P30</f>
        <v>6.5</v>
      </c>
      <c r="I17" s="393">
        <f>'04. Job Descriptions'!Q30</f>
        <v>8.5</v>
      </c>
      <c r="J17" s="393">
        <f>'04. Job Descriptions'!R30</f>
        <v>10</v>
      </c>
      <c r="K17" s="394">
        <f>'05. Job Rankings'!G30</f>
        <v>6.5</v>
      </c>
      <c r="L17" s="65" t="str">
        <f t="shared" si="2"/>
        <v>BANE04</v>
      </c>
      <c r="M17" s="65" t="str">
        <f t="shared" si="3"/>
        <v/>
      </c>
      <c r="N17" s="65"/>
      <c r="O17" s="395"/>
      <c r="P17" s="65"/>
      <c r="Q17" s="173">
        <f>'05. Job Rankings'!L30</f>
        <v>6.5</v>
      </c>
      <c r="R17" s="168" t="str">
        <f t="shared" si="1"/>
        <v/>
      </c>
      <c r="S17" s="169"/>
      <c r="T17" s="65">
        <f t="shared" si="4"/>
        <v>6.5</v>
      </c>
      <c r="U17" s="65">
        <f t="shared" si="5"/>
        <v>8.5</v>
      </c>
    </row>
    <row r="18" spans="1:37" ht="22.05" customHeight="1">
      <c r="B18" s="296">
        <v>12</v>
      </c>
      <c r="C18" s="400" t="str">
        <f>'04. Job Descriptions'!B13</f>
        <v>Industry Experiences (IT and Non-IT fields)</v>
      </c>
      <c r="D18" s="183">
        <f>'04. Job Descriptions'!C13</f>
        <v>0.1</v>
      </c>
      <c r="E18" s="393">
        <f>'04. Job Descriptions'!M13</f>
        <v>0</v>
      </c>
      <c r="F18" s="393">
        <f>'04. Job Descriptions'!N13</f>
        <v>0</v>
      </c>
      <c r="G18" s="393">
        <f>'04. Job Descriptions'!O13</f>
        <v>2.5</v>
      </c>
      <c r="H18" s="393">
        <f>'04. Job Descriptions'!P13</f>
        <v>5</v>
      </c>
      <c r="I18" s="393">
        <f>'04. Job Descriptions'!Q13</f>
        <v>7.5000000000000009</v>
      </c>
      <c r="J18" s="393">
        <f>'04. Job Descriptions'!R13</f>
        <v>10</v>
      </c>
      <c r="K18" s="394">
        <f>'05. Job Rankings'!G13</f>
        <v>7.5000000000000009</v>
      </c>
      <c r="L18" s="65" t="str">
        <f t="shared" si="2"/>
        <v>BANE05</v>
      </c>
      <c r="M18" s="65" t="str">
        <f t="shared" si="3"/>
        <v/>
      </c>
      <c r="N18" s="65"/>
      <c r="O18" s="395"/>
      <c r="P18" s="65"/>
      <c r="Q18" s="173">
        <f>'05. Job Rankings'!L13</f>
        <v>5</v>
      </c>
      <c r="R18" s="168" t="str">
        <f t="shared" si="1"/>
        <v/>
      </c>
      <c r="S18" s="169"/>
      <c r="T18" s="65">
        <f t="shared" si="4"/>
        <v>5</v>
      </c>
      <c r="U18" s="65">
        <f t="shared" si="5"/>
        <v>7.5000000000000009</v>
      </c>
      <c r="Y18" s="24"/>
      <c r="Z18" s="24"/>
      <c r="AA18" s="24"/>
    </row>
    <row r="19" spans="1:37" ht="22.05" customHeight="1">
      <c r="B19" s="296">
        <v>13</v>
      </c>
      <c r="C19" s="400" t="str">
        <f>'04. Job Descriptions'!B29</f>
        <v>Individual Learning in Year</v>
      </c>
      <c r="D19" s="183">
        <f>'04. Job Descriptions'!C29</f>
        <v>0.01</v>
      </c>
      <c r="E19" s="393">
        <f>'04. Job Descriptions'!M29</f>
        <v>0.33333333333333337</v>
      </c>
      <c r="F19" s="393">
        <f>'04. Job Descriptions'!N29</f>
        <v>0.33333333333333337</v>
      </c>
      <c r="G19" s="393">
        <f>'04. Job Descriptions'!O29</f>
        <v>0.66666666666666674</v>
      </c>
      <c r="H19" s="393">
        <f>'04. Job Descriptions'!P29</f>
        <v>0.66666666666666674</v>
      </c>
      <c r="I19" s="393">
        <f>'04. Job Descriptions'!Q29</f>
        <v>1</v>
      </c>
      <c r="J19" s="393">
        <f>'04. Job Descriptions'!R29</f>
        <v>1</v>
      </c>
      <c r="K19" s="394">
        <f>'05. Job Rankings'!G29</f>
        <v>0.66666666666666674</v>
      </c>
      <c r="L19" s="65" t="str">
        <f t="shared" si="2"/>
        <v>BANE04</v>
      </c>
      <c r="M19" s="65" t="str">
        <f t="shared" si="3"/>
        <v/>
      </c>
      <c r="N19" s="65"/>
      <c r="O19" s="395"/>
      <c r="P19" s="65"/>
      <c r="Q19" s="173">
        <f>'05. Job Rankings'!L29</f>
        <v>0.66666666666666674</v>
      </c>
      <c r="R19" s="168" t="str">
        <f t="shared" si="1"/>
        <v/>
      </c>
      <c r="S19" s="170"/>
      <c r="T19" s="65">
        <f t="shared" si="4"/>
        <v>0.66666666666666674</v>
      </c>
      <c r="U19" s="65">
        <f t="shared" si="5"/>
        <v>1</v>
      </c>
      <c r="V19" s="30"/>
      <c r="W19" s="30"/>
      <c r="X19" s="30"/>
      <c r="Y19" s="24"/>
      <c r="Z19" s="24"/>
      <c r="AA19" s="24"/>
    </row>
    <row r="20" spans="1:37">
      <c r="C20" s="29"/>
      <c r="D20" s="94"/>
      <c r="E20" s="94"/>
      <c r="F20" s="94"/>
      <c r="G20" s="94"/>
      <c r="H20" s="94"/>
      <c r="I20" s="94"/>
      <c r="J20" s="94"/>
      <c r="K20" s="94"/>
      <c r="L20" s="94"/>
      <c r="M20" s="94"/>
      <c r="N20" s="94"/>
      <c r="O20" s="94"/>
      <c r="P20" s="94"/>
      <c r="Q20" s="94"/>
      <c r="R20" s="31"/>
      <c r="S20" s="31"/>
      <c r="T20" s="31"/>
      <c r="U20" s="31"/>
      <c r="V20" s="31"/>
      <c r="W20" s="31"/>
      <c r="X20" s="31"/>
      <c r="Y20" s="24"/>
      <c r="Z20" s="24"/>
      <c r="AA20" s="24"/>
    </row>
    <row r="21" spans="1:37" ht="18" customHeight="1">
      <c r="B21" s="34" t="s">
        <v>211</v>
      </c>
      <c r="C21" s="29"/>
      <c r="D21" s="31"/>
      <c r="E21" s="31"/>
      <c r="F21" s="31"/>
      <c r="G21" s="31"/>
      <c r="H21" s="31"/>
      <c r="I21" s="31"/>
      <c r="J21" s="31"/>
      <c r="K21" s="31"/>
      <c r="L21" s="31"/>
      <c r="M21" s="31"/>
      <c r="N21" s="31"/>
      <c r="O21" s="31"/>
      <c r="P21" s="31"/>
      <c r="Q21" s="31"/>
      <c r="R21" s="31"/>
      <c r="S21" s="31"/>
      <c r="T21" s="31"/>
      <c r="U21" s="31"/>
      <c r="V21" s="31"/>
      <c r="W21" s="31"/>
      <c r="X21" s="31"/>
    </row>
    <row r="22" spans="1:37" ht="18" customHeight="1">
      <c r="B22" s="36">
        <v>1</v>
      </c>
      <c r="C22" s="33" t="s">
        <v>212</v>
      </c>
      <c r="D22" s="499" t="s">
        <v>607</v>
      </c>
      <c r="E22" s="500"/>
      <c r="F22" s="501" t="str">
        <f>IFERROR(VLOOKUP(D22,'08. Definitions'!C14:D20,2,FALSE),"")</f>
        <v>Senior Business Analyst</v>
      </c>
      <c r="G22" s="501"/>
      <c r="H22" s="501"/>
      <c r="I22" s="501"/>
      <c r="J22" s="501"/>
      <c r="K22" s="501"/>
      <c r="L22" s="231"/>
      <c r="M22" s="231"/>
      <c r="N22" s="231"/>
      <c r="O22" s="232"/>
      <c r="P22" s="232"/>
      <c r="Q22" s="232"/>
      <c r="R22" s="232"/>
      <c r="S22" s="232"/>
      <c r="T22" s="232"/>
      <c r="U22" s="232"/>
      <c r="V22" s="31"/>
      <c r="W22" s="31"/>
      <c r="X22" s="31"/>
    </row>
    <row r="23" spans="1:37" ht="18" customHeight="1">
      <c r="B23" s="36">
        <v>2</v>
      </c>
      <c r="C23" s="33" t="s">
        <v>213</v>
      </c>
      <c r="D23" s="498"/>
      <c r="E23" s="498"/>
      <c r="F23" s="498"/>
      <c r="G23" s="498"/>
      <c r="H23" s="498"/>
      <c r="I23" s="498"/>
      <c r="J23" s="498"/>
      <c r="K23" s="498"/>
      <c r="L23" s="498"/>
      <c r="M23" s="498"/>
      <c r="N23" s="498"/>
      <c r="O23" s="498"/>
      <c r="P23" s="498"/>
      <c r="Q23" s="498"/>
      <c r="R23" s="498"/>
      <c r="S23" s="498"/>
      <c r="T23" s="498"/>
      <c r="U23" s="498"/>
      <c r="V23" s="31"/>
      <c r="W23" s="31"/>
      <c r="X23" s="31"/>
    </row>
    <row r="24" spans="1:37" ht="18" customHeight="1">
      <c r="B24" s="36">
        <v>3</v>
      </c>
      <c r="C24" s="33" t="s">
        <v>214</v>
      </c>
      <c r="D24" s="498"/>
      <c r="E24" s="498"/>
      <c r="F24" s="498"/>
      <c r="G24" s="498"/>
      <c r="H24" s="498"/>
      <c r="I24" s="498"/>
      <c r="J24" s="498"/>
      <c r="K24" s="498"/>
      <c r="L24" s="498"/>
      <c r="M24" s="498"/>
      <c r="N24" s="498"/>
      <c r="O24" s="498"/>
      <c r="P24" s="498"/>
      <c r="Q24" s="498"/>
      <c r="R24" s="498"/>
      <c r="S24" s="498"/>
      <c r="T24" s="498"/>
      <c r="U24" s="498"/>
      <c r="V24" s="31"/>
      <c r="W24" s="240"/>
      <c r="X24" s="240"/>
      <c r="Y24" s="239"/>
      <c r="Z24" s="239"/>
      <c r="AA24" s="239"/>
      <c r="AB24" s="297"/>
      <c r="AC24" s="297"/>
      <c r="AD24" s="297"/>
      <c r="AE24" s="297"/>
      <c r="AF24" s="297"/>
      <c r="AG24" s="297"/>
      <c r="AH24" s="297"/>
      <c r="AI24" s="297"/>
      <c r="AJ24" s="297"/>
      <c r="AK24" s="297"/>
    </row>
    <row r="25" spans="1:37" ht="22.95" customHeight="1">
      <c r="C25" s="33"/>
      <c r="D25" s="220"/>
      <c r="E25" s="220"/>
      <c r="F25" s="220"/>
      <c r="G25" s="220"/>
      <c r="H25" s="220"/>
      <c r="I25" s="220"/>
      <c r="J25" s="220"/>
      <c r="K25" s="220"/>
      <c r="L25" s="220"/>
      <c r="M25" s="220"/>
      <c r="N25" s="220"/>
      <c r="O25" s="220"/>
      <c r="P25" s="220"/>
      <c r="Q25" s="220"/>
      <c r="R25" s="220"/>
      <c r="S25" s="220"/>
      <c r="T25" s="220"/>
      <c r="U25" s="220"/>
      <c r="V25" s="31"/>
      <c r="W25" s="240"/>
      <c r="X25" s="301"/>
      <c r="Y25" s="302"/>
      <c r="Z25" s="302"/>
      <c r="AA25" s="302"/>
      <c r="AB25" s="303"/>
      <c r="AC25" s="297"/>
      <c r="AD25" s="297"/>
      <c r="AE25" s="297"/>
      <c r="AF25" s="297"/>
      <c r="AG25" s="297"/>
      <c r="AH25" s="297"/>
      <c r="AI25" s="297"/>
      <c r="AJ25" s="297"/>
      <c r="AK25" s="297"/>
    </row>
    <row r="26" spans="1:37" s="25" customFormat="1" ht="13.8">
      <c r="B26" s="54"/>
      <c r="C26" s="29"/>
      <c r="D26" s="29"/>
      <c r="E26" s="31"/>
      <c r="F26" s="31"/>
      <c r="G26" s="31"/>
      <c r="H26" s="31"/>
      <c r="I26" s="31"/>
      <c r="J26" s="31"/>
      <c r="K26" s="31"/>
      <c r="L26" s="31"/>
      <c r="M26" s="31"/>
      <c r="N26" s="31"/>
      <c r="O26" s="31"/>
      <c r="P26" s="31"/>
      <c r="Q26" s="31"/>
      <c r="R26" s="31"/>
      <c r="S26" s="31"/>
      <c r="T26" s="31"/>
      <c r="U26" s="31"/>
      <c r="V26" s="31"/>
      <c r="W26" s="240"/>
      <c r="X26" s="301"/>
      <c r="Y26" s="121"/>
      <c r="Z26" s="121"/>
      <c r="AA26" s="121"/>
      <c r="AB26" s="122"/>
      <c r="AC26" s="298"/>
      <c r="AD26" s="298"/>
      <c r="AE26" s="298"/>
      <c r="AF26" s="298"/>
      <c r="AG26" s="298"/>
      <c r="AH26" s="298"/>
      <c r="AI26" s="298"/>
      <c r="AJ26" s="298"/>
      <c r="AK26" s="298"/>
    </row>
    <row r="27" spans="1:37" s="24" customFormat="1" ht="29.4" customHeight="1">
      <c r="B27" s="55"/>
      <c r="C27" s="2"/>
      <c r="D27" s="29"/>
      <c r="E27" s="15"/>
      <c r="F27" s="15"/>
      <c r="G27" s="15"/>
      <c r="H27" s="15"/>
      <c r="I27" s="15"/>
      <c r="J27" s="15"/>
      <c r="K27" s="31"/>
      <c r="L27" s="31"/>
      <c r="M27" s="31"/>
      <c r="N27" s="31"/>
      <c r="O27" s="31"/>
      <c r="P27" s="31"/>
      <c r="Q27" s="493" t="str">
        <f>"Prerequisite Skills for Expected Rank " &amp; '05. Job Rankings'!K3</f>
        <v>Prerequisite Skills for Expected Rank BANE04</v>
      </c>
      <c r="R27" s="493"/>
      <c r="S27" s="493"/>
      <c r="T27" s="493"/>
      <c r="U27" s="493"/>
      <c r="V27" s="31"/>
      <c r="W27" s="240"/>
      <c r="X27" s="301"/>
      <c r="Y27" s="123" t="s">
        <v>39</v>
      </c>
      <c r="Z27" s="124"/>
      <c r="AA27" s="124"/>
      <c r="AB27" s="125"/>
      <c r="AC27" s="299"/>
      <c r="AD27" s="299"/>
      <c r="AE27" s="299"/>
      <c r="AF27" s="299"/>
      <c r="AG27" s="299"/>
      <c r="AH27" s="299"/>
      <c r="AI27" s="299"/>
      <c r="AJ27" s="299"/>
      <c r="AK27" s="299"/>
    </row>
    <row r="28" spans="1:37" s="24" customFormat="1" ht="15.45" customHeight="1">
      <c r="B28" s="55"/>
      <c r="C28" s="25"/>
      <c r="D28" s="2"/>
      <c r="E28" s="32"/>
      <c r="F28" s="32"/>
      <c r="G28" s="32"/>
      <c r="H28" s="32"/>
      <c r="I28" s="32"/>
      <c r="J28" s="32"/>
      <c r="K28" s="15"/>
      <c r="L28" s="15"/>
      <c r="M28" s="15"/>
      <c r="N28" s="15"/>
      <c r="O28" s="15"/>
      <c r="P28" s="15"/>
      <c r="Q28" s="15"/>
      <c r="R28" s="15"/>
      <c r="S28" s="15"/>
      <c r="T28" s="15"/>
      <c r="U28" s="15"/>
      <c r="V28" s="15"/>
      <c r="W28" s="238"/>
      <c r="X28" s="304"/>
      <c r="Y28" s="126" t="s">
        <v>33</v>
      </c>
      <c r="Z28" s="126">
        <v>0.5</v>
      </c>
      <c r="AA28" s="127" t="s">
        <v>40</v>
      </c>
      <c r="AB28" s="125"/>
      <c r="AC28" s="299"/>
      <c r="AD28" s="299"/>
      <c r="AE28" s="299"/>
      <c r="AF28" s="299"/>
      <c r="AG28" s="299"/>
      <c r="AH28" s="299"/>
      <c r="AI28" s="299"/>
      <c r="AJ28" s="299"/>
      <c r="AK28" s="299"/>
    </row>
    <row r="29" spans="1:37" s="24" customFormat="1">
      <c r="B29" s="55"/>
      <c r="D29" s="25"/>
      <c r="E29" s="28"/>
      <c r="F29" s="28"/>
      <c r="G29" s="28"/>
      <c r="H29" s="28"/>
      <c r="I29" s="28"/>
      <c r="J29" s="28"/>
      <c r="K29" s="32"/>
      <c r="L29" s="32"/>
      <c r="M29" s="32"/>
      <c r="N29" s="32"/>
      <c r="O29" s="32"/>
      <c r="P29" s="32"/>
      <c r="Q29" s="32"/>
      <c r="R29" s="32"/>
      <c r="S29" s="32"/>
      <c r="T29" s="32"/>
      <c r="U29" s="32"/>
      <c r="V29" s="32"/>
      <c r="W29" s="241"/>
      <c r="X29" s="305"/>
      <c r="Y29" s="128" t="s">
        <v>26</v>
      </c>
      <c r="Z29" s="126">
        <f>16</f>
        <v>16</v>
      </c>
      <c r="AA29" s="126"/>
      <c r="AB29" s="125"/>
      <c r="AC29" s="299"/>
      <c r="AD29" s="299"/>
      <c r="AE29" s="299"/>
      <c r="AF29" s="299"/>
      <c r="AG29" s="299"/>
      <c r="AH29" s="299"/>
      <c r="AI29" s="299"/>
      <c r="AJ29" s="299"/>
      <c r="AK29" s="299"/>
    </row>
    <row r="30" spans="1:37" ht="24" customHeight="1">
      <c r="C30" s="1"/>
      <c r="D30" s="24"/>
      <c r="E30" s="28"/>
      <c r="F30" s="28"/>
      <c r="G30" s="28"/>
      <c r="H30" s="28"/>
      <c r="I30" s="28"/>
      <c r="J30" s="28"/>
      <c r="K30" s="28"/>
      <c r="L30" s="28"/>
      <c r="M30" s="28"/>
      <c r="N30" s="28"/>
      <c r="O30" s="28"/>
      <c r="P30" s="28"/>
      <c r="Q30" s="508" t="s">
        <v>176</v>
      </c>
      <c r="R30" s="508"/>
      <c r="S30" s="508"/>
      <c r="T30" s="508"/>
      <c r="U30" s="35">
        <f>COUNTIF(U31:U34,"Yes")</f>
        <v>1</v>
      </c>
      <c r="V30" s="28"/>
      <c r="W30" s="300"/>
      <c r="X30" s="306"/>
      <c r="Y30" s="128" t="str">
        <f>'04. Job Descriptions'!E3</f>
        <v>Associate Business Analyst</v>
      </c>
      <c r="Z30" s="129">
        <f>AA31-AA30-Z28</f>
        <v>8.0000000000000036</v>
      </c>
      <c r="AA30" s="130">
        <f>HLOOKUP(Y30,'04. Job Descriptions'!$M$2:$R$4,3,0)</f>
        <v>25.733333333333331</v>
      </c>
      <c r="AB30" s="124"/>
      <c r="AC30" s="297"/>
      <c r="AD30" s="297"/>
      <c r="AE30" s="297"/>
      <c r="AF30" s="297"/>
      <c r="AG30" s="297"/>
      <c r="AH30" s="297"/>
      <c r="AI30" s="297"/>
      <c r="AJ30" s="297"/>
      <c r="AK30" s="297"/>
    </row>
    <row r="31" spans="1:37" ht="24" customHeight="1">
      <c r="D31" s="1"/>
      <c r="K31" s="28"/>
      <c r="L31" s="28"/>
      <c r="M31" s="28"/>
      <c r="N31" s="28"/>
      <c r="O31" s="28"/>
      <c r="P31" s="28"/>
      <c r="Q31" s="509" t="str">
        <f>'04. Job Descriptions'!B9</f>
        <v>Business Analysis Experiences (*)</v>
      </c>
      <c r="R31" s="509"/>
      <c r="S31" s="509"/>
      <c r="T31" s="509"/>
      <c r="U31" s="9" t="str">
        <f>VLOOKUP(Q31,'05. Job Rankings'!$B$5:$M$35,9,0)</f>
        <v>No</v>
      </c>
      <c r="V31" s="28"/>
      <c r="W31" s="300"/>
      <c r="X31" s="306"/>
      <c r="Y31" s="128" t="str">
        <f>'04. Job Descriptions'!F3</f>
        <v>Business Analyst</v>
      </c>
      <c r="Z31" s="129">
        <f>AA32-AA31</f>
        <v>15.68333333333333</v>
      </c>
      <c r="AA31" s="130">
        <f>HLOOKUP(Y31,'04. Job Descriptions'!$M$2:$R$4,3,0)</f>
        <v>34.233333333333334</v>
      </c>
      <c r="AB31" s="124"/>
      <c r="AC31" s="297"/>
      <c r="AD31" s="297"/>
      <c r="AE31" s="297"/>
      <c r="AF31" s="297"/>
      <c r="AG31" s="297"/>
      <c r="AH31" s="297"/>
      <c r="AI31" s="297"/>
      <c r="AJ31" s="297"/>
      <c r="AK31" s="297"/>
    </row>
    <row r="32" spans="1:37" ht="21" customHeight="1">
      <c r="Q32" s="490" t="str">
        <f>'04. Job Descriptions'!B16</f>
        <v>Business Analysis Planning &amp; Monitoring (*)</v>
      </c>
      <c r="R32" s="491"/>
      <c r="S32" s="491"/>
      <c r="T32" s="492"/>
      <c r="U32" s="9" t="str">
        <f>VLOOKUP(Q32,'05. Job Rankings'!$B$5:$M$35,9,0)</f>
        <v>Yes</v>
      </c>
      <c r="V32" s="242"/>
      <c r="W32" s="238"/>
      <c r="X32" s="304"/>
      <c r="Y32" s="128" t="str">
        <f>'04. Job Descriptions'!G3</f>
        <v>Senior Business Analyst</v>
      </c>
      <c r="Z32" s="129">
        <f>AA33-AA32</f>
        <v>17.899999999999999</v>
      </c>
      <c r="AA32" s="130">
        <f>HLOOKUP(Y32,'04. Job Descriptions'!$M$2:$R$4,3,0)</f>
        <v>49.916666666666664</v>
      </c>
      <c r="AB32" s="124"/>
      <c r="AC32" s="297"/>
      <c r="AD32" s="297"/>
      <c r="AE32" s="297"/>
      <c r="AF32" s="297"/>
      <c r="AG32" s="297"/>
      <c r="AH32" s="297"/>
      <c r="AI32" s="297"/>
      <c r="AJ32" s="297"/>
      <c r="AK32" s="297"/>
    </row>
    <row r="33" spans="17:37" ht="21" customHeight="1">
      <c r="Q33" s="490" t="str">
        <f>'04. Job Descriptions'!B17</f>
        <v>Requirement Elicitation &amp; Collaboration (*)</v>
      </c>
      <c r="R33" s="491"/>
      <c r="S33" s="491"/>
      <c r="T33" s="492"/>
      <c r="U33" s="9" t="str">
        <f>VLOOKUP(Q33,'05. Job Rankings'!$B$5:$M$35,9,0)</f>
        <v>No</v>
      </c>
      <c r="V33" s="242"/>
      <c r="W33" s="238"/>
      <c r="X33" s="304"/>
      <c r="Y33" s="128" t="str">
        <f>'04. Job Descriptions'!H3</f>
        <v>Business Analysis Leader</v>
      </c>
      <c r="Z33" s="129">
        <f>AA34-AA33</f>
        <v>13.183333333333337</v>
      </c>
      <c r="AA33" s="130">
        <f>HLOOKUP(Y33,'04. Job Descriptions'!$M$2:$R$4,3,0)</f>
        <v>67.816666666666663</v>
      </c>
      <c r="AB33" s="124"/>
      <c r="AC33" s="297"/>
      <c r="AD33" s="297"/>
      <c r="AE33" s="297"/>
      <c r="AF33" s="297"/>
      <c r="AG33" s="297"/>
      <c r="AH33" s="297"/>
      <c r="AI33" s="297"/>
      <c r="AJ33" s="297"/>
      <c r="AK33" s="297"/>
    </row>
    <row r="34" spans="17:37" ht="21" customHeight="1">
      <c r="Q34" s="490" t="str">
        <f>'04. Job Descriptions'!B18</f>
        <v>Business Requirement Analysis (*)</v>
      </c>
      <c r="R34" s="491"/>
      <c r="S34" s="491"/>
      <c r="T34" s="492"/>
      <c r="U34" s="9" t="str">
        <f>VLOOKUP(Q34,'05. Job Rankings'!$B$5:$M$35,9,0)</f>
        <v>No</v>
      </c>
      <c r="V34" s="242"/>
      <c r="W34" s="238"/>
      <c r="X34" s="304"/>
      <c r="Y34" s="128" t="str">
        <f>'04. Job Descriptions'!I3</f>
        <v>Senior Business Analysis Consultant / Leader</v>
      </c>
      <c r="Z34" s="129">
        <f t="shared" ref="Z34:Z35" si="6">AA35-AA34</f>
        <v>19</v>
      </c>
      <c r="AA34" s="130">
        <f>HLOOKUP(Y34,'04. Job Descriptions'!$M$2:$R$4,3,0)</f>
        <v>81</v>
      </c>
      <c r="AB34" s="124"/>
      <c r="AC34" s="297"/>
      <c r="AD34" s="297"/>
      <c r="AE34" s="297"/>
      <c r="AF34" s="297"/>
      <c r="AG34" s="297"/>
      <c r="AH34" s="297"/>
      <c r="AI34" s="297"/>
      <c r="AJ34" s="297"/>
      <c r="AK34" s="297"/>
    </row>
    <row r="35" spans="17:37" ht="21" customHeight="1">
      <c r="V35" s="242"/>
      <c r="W35" s="238"/>
      <c r="X35" s="304"/>
      <c r="Y35" s="128" t="str">
        <f>'04. Job Descriptions'!J3</f>
        <v>Principal Business Analysis Consultant / Leader</v>
      </c>
      <c r="Z35" s="129">
        <f t="shared" si="6"/>
        <v>11</v>
      </c>
      <c r="AA35" s="130">
        <f>HLOOKUP(Y35,'04. Job Descriptions'!$M$2:$R$4,3,0)</f>
        <v>100</v>
      </c>
      <c r="AB35" s="124"/>
      <c r="AC35" s="297"/>
      <c r="AD35" s="297"/>
      <c r="AE35" s="297"/>
      <c r="AF35" s="297"/>
      <c r="AG35" s="297"/>
      <c r="AH35" s="297"/>
      <c r="AI35" s="297"/>
      <c r="AJ35" s="297"/>
      <c r="AK35" s="297"/>
    </row>
    <row r="36" spans="17:37">
      <c r="W36" s="238"/>
      <c r="X36" s="304"/>
      <c r="Y36" s="126" t="s">
        <v>37</v>
      </c>
      <c r="Z36" s="126">
        <v>100</v>
      </c>
      <c r="AA36" s="130">
        <v>111</v>
      </c>
      <c r="AB36" s="124"/>
      <c r="AC36" s="297"/>
      <c r="AD36" s="297"/>
      <c r="AE36" s="297"/>
      <c r="AF36" s="297"/>
      <c r="AG36" s="297"/>
      <c r="AH36" s="297"/>
      <c r="AI36" s="297"/>
      <c r="AJ36" s="297"/>
      <c r="AK36" s="297"/>
    </row>
    <row r="37" spans="17:37">
      <c r="W37" s="238"/>
      <c r="X37" s="304"/>
      <c r="Y37" s="131" t="s">
        <v>121</v>
      </c>
      <c r="Z37" s="132">
        <f>'05. Job Rankings'!G3</f>
        <v>70.316666666666663</v>
      </c>
      <c r="AA37" s="126"/>
      <c r="AB37" s="124"/>
      <c r="AC37" s="297"/>
      <c r="AD37" s="297"/>
      <c r="AE37" s="297"/>
      <c r="AF37" s="297"/>
      <c r="AG37" s="297"/>
      <c r="AH37" s="297"/>
      <c r="AI37" s="297"/>
      <c r="AJ37" s="297"/>
      <c r="AK37" s="297"/>
    </row>
    <row r="38" spans="17:37">
      <c r="W38" s="238"/>
      <c r="X38" s="304"/>
      <c r="Y38" s="126" t="s">
        <v>34</v>
      </c>
      <c r="Z38" s="126">
        <v>1</v>
      </c>
      <c r="AA38" s="126"/>
      <c r="AB38" s="124"/>
      <c r="AC38" s="297"/>
      <c r="AD38" s="297"/>
      <c r="AE38" s="297"/>
      <c r="AF38" s="297"/>
      <c r="AG38" s="297"/>
      <c r="AH38" s="297"/>
      <c r="AI38" s="297"/>
      <c r="AJ38" s="297"/>
      <c r="AK38" s="297"/>
    </row>
    <row r="39" spans="17:37">
      <c r="W39" s="238"/>
      <c r="X39" s="304"/>
      <c r="Y39" s="126" t="s">
        <v>38</v>
      </c>
      <c r="Z39" s="130">
        <f>200-(Z38+Z37)</f>
        <v>128.68333333333334</v>
      </c>
      <c r="AA39" s="126"/>
      <c r="AB39" s="124"/>
      <c r="AC39" s="297"/>
      <c r="AD39" s="297"/>
      <c r="AE39" s="297"/>
      <c r="AF39" s="297"/>
      <c r="AG39" s="297"/>
      <c r="AH39" s="297"/>
      <c r="AI39" s="297"/>
      <c r="AJ39" s="297"/>
      <c r="AK39" s="297"/>
    </row>
    <row r="40" spans="17:37">
      <c r="W40" s="238"/>
      <c r="X40" s="304"/>
      <c r="Y40" s="121"/>
      <c r="Z40" s="121"/>
      <c r="AA40" s="121"/>
      <c r="AB40" s="124"/>
      <c r="AC40" s="297"/>
      <c r="AD40" s="297"/>
      <c r="AE40" s="297"/>
      <c r="AF40" s="297"/>
      <c r="AG40" s="297"/>
      <c r="AH40" s="297"/>
      <c r="AI40" s="297"/>
      <c r="AJ40" s="297"/>
      <c r="AK40" s="297"/>
    </row>
    <row r="41" spans="17:37">
      <c r="W41" s="238"/>
      <c r="X41" s="304"/>
      <c r="Y41" s="121"/>
      <c r="Z41" s="121"/>
      <c r="AA41" s="121"/>
      <c r="AB41" s="124"/>
      <c r="AC41" s="297"/>
      <c r="AD41" s="297"/>
      <c r="AE41" s="297"/>
      <c r="AF41" s="297"/>
      <c r="AG41" s="297"/>
      <c r="AH41" s="297"/>
      <c r="AI41" s="297"/>
      <c r="AJ41" s="297"/>
      <c r="AK41" s="297"/>
    </row>
    <row r="42" spans="17:37">
      <c r="W42" s="238"/>
      <c r="X42" s="304"/>
      <c r="Y42" s="302"/>
      <c r="Z42" s="302"/>
      <c r="AA42" s="302"/>
      <c r="AB42" s="303"/>
      <c r="AC42" s="297"/>
      <c r="AD42" s="297"/>
      <c r="AE42" s="297"/>
      <c r="AF42" s="297"/>
      <c r="AG42" s="297"/>
      <c r="AH42" s="297"/>
      <c r="AI42" s="297"/>
      <c r="AJ42" s="297"/>
      <c r="AK42" s="297"/>
    </row>
    <row r="43" spans="17:37">
      <c r="W43" s="238"/>
      <c r="X43" s="238"/>
      <c r="Y43" s="239"/>
      <c r="Z43" s="239"/>
      <c r="AA43" s="239"/>
      <c r="AB43" s="297"/>
      <c r="AC43" s="297"/>
      <c r="AD43" s="297"/>
      <c r="AE43" s="297"/>
      <c r="AF43" s="297"/>
      <c r="AG43" s="297"/>
      <c r="AH43" s="297"/>
      <c r="AI43" s="297"/>
      <c r="AJ43" s="297"/>
      <c r="AK43" s="297"/>
    </row>
    <row r="44" spans="17:37">
      <c r="W44" s="238"/>
      <c r="X44" s="238"/>
      <c r="Y44" s="239"/>
      <c r="Z44" s="239"/>
      <c r="AA44" s="239"/>
      <c r="AB44" s="297"/>
      <c r="AC44" s="297"/>
      <c r="AD44" s="297"/>
      <c r="AE44" s="297"/>
      <c r="AF44" s="297"/>
      <c r="AG44" s="297"/>
      <c r="AH44" s="297"/>
      <c r="AI44" s="297"/>
      <c r="AJ44" s="297"/>
      <c r="AK44" s="297"/>
    </row>
    <row r="45" spans="17:37">
      <c r="W45" s="238"/>
      <c r="X45" s="238"/>
      <c r="Y45" s="239"/>
      <c r="Z45" s="239"/>
      <c r="AA45" s="239"/>
      <c r="AB45" s="297"/>
      <c r="AC45" s="297"/>
      <c r="AD45" s="297"/>
      <c r="AE45" s="297"/>
      <c r="AF45" s="297"/>
      <c r="AG45" s="297"/>
      <c r="AH45" s="297"/>
      <c r="AI45" s="297"/>
      <c r="AJ45" s="297"/>
      <c r="AK45" s="297"/>
    </row>
    <row r="46" spans="17:37">
      <c r="W46" s="238"/>
      <c r="X46" s="238"/>
      <c r="Y46" s="239"/>
      <c r="Z46" s="239"/>
      <c r="AA46" s="239"/>
      <c r="AB46" s="297"/>
      <c r="AC46" s="297"/>
      <c r="AD46" s="297"/>
      <c r="AE46" s="297"/>
      <c r="AF46" s="297"/>
      <c r="AG46" s="297"/>
      <c r="AH46" s="297"/>
      <c r="AI46" s="297"/>
      <c r="AJ46" s="297"/>
      <c r="AK46" s="297"/>
    </row>
    <row r="47" spans="17:37">
      <c r="W47" s="238"/>
      <c r="X47" s="238"/>
      <c r="Y47" s="239"/>
      <c r="Z47" s="239"/>
      <c r="AA47" s="239"/>
      <c r="AB47" s="297"/>
      <c r="AC47" s="297"/>
      <c r="AD47" s="297"/>
      <c r="AE47" s="297"/>
      <c r="AF47" s="297"/>
      <c r="AG47" s="297"/>
      <c r="AH47" s="297"/>
      <c r="AI47" s="297"/>
      <c r="AJ47" s="297"/>
      <c r="AK47" s="297"/>
    </row>
    <row r="48" spans="17:37">
      <c r="W48" s="238"/>
      <c r="X48" s="238"/>
      <c r="Y48" s="239"/>
      <c r="Z48" s="239"/>
      <c r="AA48" s="239"/>
      <c r="AB48" s="297"/>
      <c r="AC48" s="297"/>
      <c r="AD48" s="297"/>
      <c r="AE48" s="297"/>
      <c r="AF48" s="297"/>
      <c r="AG48" s="297"/>
      <c r="AH48" s="297"/>
      <c r="AI48" s="297"/>
      <c r="AJ48" s="297"/>
      <c r="AK48" s="297"/>
    </row>
    <row r="49" spans="23:37">
      <c r="W49" s="238"/>
      <c r="X49" s="238"/>
      <c r="Y49" s="239"/>
      <c r="Z49" s="239"/>
      <c r="AA49" s="239"/>
      <c r="AB49" s="297"/>
      <c r="AC49" s="297"/>
      <c r="AD49" s="297"/>
      <c r="AE49" s="297"/>
      <c r="AF49" s="297"/>
      <c r="AG49" s="297"/>
      <c r="AH49" s="297"/>
      <c r="AI49" s="297"/>
      <c r="AJ49" s="297"/>
      <c r="AK49" s="297"/>
    </row>
    <row r="50" spans="23:37">
      <c r="W50" s="238"/>
      <c r="X50" s="238"/>
      <c r="Y50" s="239"/>
      <c r="Z50" s="239"/>
      <c r="AA50" s="239"/>
      <c r="AB50" s="297"/>
      <c r="AC50" s="297"/>
      <c r="AD50" s="297"/>
      <c r="AE50" s="297"/>
      <c r="AF50" s="297"/>
      <c r="AG50" s="297"/>
      <c r="AH50" s="297"/>
      <c r="AI50" s="297"/>
      <c r="AJ50" s="297"/>
      <c r="AK50" s="297"/>
    </row>
    <row r="51" spans="23:37">
      <c r="W51" s="238"/>
      <c r="X51" s="238"/>
      <c r="Y51" s="239"/>
      <c r="Z51" s="239"/>
      <c r="AA51" s="239"/>
      <c r="AB51" s="297"/>
      <c r="AC51" s="297"/>
      <c r="AD51" s="297"/>
      <c r="AE51" s="297"/>
      <c r="AF51" s="297"/>
      <c r="AG51" s="297"/>
      <c r="AH51" s="297"/>
      <c r="AI51" s="297"/>
      <c r="AJ51" s="297"/>
      <c r="AK51" s="297"/>
    </row>
    <row r="52" spans="23:37">
      <c r="W52" s="238"/>
      <c r="X52" s="238"/>
      <c r="Y52" s="239"/>
      <c r="Z52" s="239"/>
      <c r="AA52" s="239"/>
      <c r="AB52" s="297"/>
      <c r="AC52" s="297"/>
      <c r="AD52" s="297"/>
      <c r="AE52" s="297"/>
      <c r="AF52" s="297"/>
      <c r="AG52" s="297"/>
      <c r="AH52" s="297"/>
      <c r="AI52" s="297"/>
      <c r="AJ52" s="297"/>
      <c r="AK52" s="297"/>
    </row>
  </sheetData>
  <sheetProtection sheet="1" objects="1" scenarios="1" insertColumns="0" insertRows="0" insertHyperlinks="0" deleteColumns="0" deleteRows="0" sort="0" autoFilter="0" pivotTables="0"/>
  <protectedRanges>
    <protectedRange sqref="D22:D25" name="Range3"/>
    <protectedRange sqref="O7:P19" name="Range1"/>
    <protectedRange sqref="S7:S19" name="Range2"/>
  </protectedRanges>
  <mergeCells count="22">
    <mergeCell ref="Q34:T34"/>
    <mergeCell ref="Q27:U27"/>
    <mergeCell ref="D3:J3"/>
    <mergeCell ref="R5:S5"/>
    <mergeCell ref="D24:U24"/>
    <mergeCell ref="D22:E22"/>
    <mergeCell ref="F22:K22"/>
    <mergeCell ref="D23:U23"/>
    <mergeCell ref="T3:U3"/>
    <mergeCell ref="Q3:S3"/>
    <mergeCell ref="D4:D5"/>
    <mergeCell ref="K3:P3"/>
    <mergeCell ref="Q30:T30"/>
    <mergeCell ref="Q31:T31"/>
    <mergeCell ref="Q32:T32"/>
    <mergeCell ref="Q33:T33"/>
    <mergeCell ref="Q4:S4"/>
    <mergeCell ref="B4:B6"/>
    <mergeCell ref="C4:C6"/>
    <mergeCell ref="O4:P4"/>
    <mergeCell ref="M5:N5"/>
    <mergeCell ref="K4:N4"/>
  </mergeCells>
  <conditionalFormatting sqref="R7:R19">
    <cfRule type="cellIs" dxfId="72" priority="3" operator="equal">
      <formula>"o"</formula>
    </cfRule>
  </conditionalFormatting>
  <conditionalFormatting sqref="C11 K11">
    <cfRule type="expression" dxfId="71" priority="211">
      <formula>$K$11&gt;=$Q$11</formula>
    </cfRule>
    <cfRule type="expression" dxfId="70" priority="212">
      <formula>$K$11&lt;$Q$11</formula>
    </cfRule>
  </conditionalFormatting>
  <conditionalFormatting sqref="C9 K9">
    <cfRule type="expression" dxfId="69" priority="215">
      <formula>$K$9&gt;=$Q$9</formula>
    </cfRule>
    <cfRule type="expression" dxfId="68" priority="216">
      <formula>$K$9&lt;$Q$9</formula>
    </cfRule>
  </conditionalFormatting>
  <conditionalFormatting sqref="C8 K8">
    <cfRule type="expression" dxfId="67" priority="219">
      <formula>$K$8&gt;=$Q$8</formula>
    </cfRule>
    <cfRule type="expression" dxfId="66" priority="220">
      <formula>$K$8&lt;$Q$8</formula>
    </cfRule>
  </conditionalFormatting>
  <conditionalFormatting sqref="C7 K7">
    <cfRule type="expression" dxfId="65" priority="223">
      <formula>$K$7&lt;$Q$7</formula>
    </cfRule>
    <cfRule type="expression" dxfId="64" priority="224">
      <formula>$K$7&gt;=$Q$7</formula>
    </cfRule>
  </conditionalFormatting>
  <conditionalFormatting sqref="C10 K10">
    <cfRule type="expression" dxfId="63" priority="227">
      <formula>$K$10&lt;$Q$10</formula>
    </cfRule>
    <cfRule type="expression" dxfId="62" priority="228">
      <formula>$K$10&gt;=$Q$10</formula>
    </cfRule>
  </conditionalFormatting>
  <conditionalFormatting sqref="C12 K12">
    <cfRule type="expression" dxfId="61" priority="231">
      <formula>$K$12&gt;=$Q$12</formula>
    </cfRule>
    <cfRule type="expression" dxfId="60" priority="232">
      <formula>$K$12&lt;$Q$12</formula>
    </cfRule>
  </conditionalFormatting>
  <conditionalFormatting sqref="K13 C13">
    <cfRule type="expression" dxfId="59" priority="235">
      <formula>$K$13&gt;=$Q$13</formula>
    </cfRule>
    <cfRule type="expression" dxfId="58" priority="236">
      <formula>$K$13&lt;$Q$13</formula>
    </cfRule>
  </conditionalFormatting>
  <conditionalFormatting sqref="C14 K14">
    <cfRule type="expression" dxfId="57" priority="239">
      <formula>$K$14&gt;=$Q$14</formula>
    </cfRule>
    <cfRule type="expression" dxfId="56" priority="240">
      <formula>$K$14&lt;$Q$14</formula>
    </cfRule>
  </conditionalFormatting>
  <conditionalFormatting sqref="C15 K15">
    <cfRule type="expression" dxfId="55" priority="243">
      <formula>$K$15&gt;=$Q$15</formula>
    </cfRule>
    <cfRule type="expression" dxfId="54" priority="244">
      <formula>$K$15&lt;$Q$15</formula>
    </cfRule>
  </conditionalFormatting>
  <conditionalFormatting sqref="C16 K16">
    <cfRule type="expression" dxfId="53" priority="247">
      <formula>$K$16&gt;=$Q$16</formula>
    </cfRule>
    <cfRule type="expression" dxfId="52" priority="248">
      <formula>$K$16&lt;$Q$16</formula>
    </cfRule>
  </conditionalFormatting>
  <conditionalFormatting sqref="C17 K17">
    <cfRule type="expression" dxfId="51" priority="251">
      <formula>$K$17&gt;=$Q$17</formula>
    </cfRule>
    <cfRule type="expression" dxfId="50" priority="252">
      <formula>$K$17&lt;$Q$17</formula>
    </cfRule>
  </conditionalFormatting>
  <conditionalFormatting sqref="C18 K18">
    <cfRule type="expression" dxfId="49" priority="255">
      <formula>$K$18&gt;=$Q$18</formula>
    </cfRule>
    <cfRule type="expression" dxfId="48" priority="256">
      <formula>$K$18&lt;$Q$18</formula>
    </cfRule>
  </conditionalFormatting>
  <conditionalFormatting sqref="C19 K19">
    <cfRule type="expression" dxfId="47" priority="259">
      <formula>$K$19&gt;=$Q$19</formula>
    </cfRule>
    <cfRule type="expression" dxfId="46" priority="260">
      <formula>$K$19&lt;$Q$19</formula>
    </cfRule>
  </conditionalFormatting>
  <dataValidations count="1">
    <dataValidation type="whole" allowBlank="1" showInputMessage="1" showErrorMessage="1" errorTitle="Bonus Points" error="Sorry,you are allowed to add Bonus points less than 5 points." sqref="O7:O19">
      <formula1>0</formula1>
      <formula2>5</formula2>
    </dataValidation>
  </dataValidations>
  <pageMargins left="0.7" right="0.7" top="0.75" bottom="0.75" header="0.3" footer="0.3"/>
  <pageSetup scale="6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'04. Job Descriptions'!$E$4:$J$4</xm:f>
          </x14:formula1>
          <xm:sqref>D22:E22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zoomScale="86" zoomScaleNormal="86" workbookViewId="0">
      <pane xSplit="2" ySplit="2" topLeftCell="C3" activePane="bottomRight" state="frozen"/>
      <selection pane="topRight" activeCell="C1" sqref="C1"/>
      <selection pane="bottomLeft" activeCell="A3" sqref="A3"/>
      <selection pane="bottomRight" activeCell="D8" sqref="D8"/>
    </sheetView>
  </sheetViews>
  <sheetFormatPr defaultRowHeight="14.4"/>
  <cols>
    <col min="1" max="1" width="15.21875" customWidth="1"/>
    <col min="2" max="2" width="111.109375" style="258" customWidth="1"/>
    <col min="3" max="8" width="27.5546875" style="258" customWidth="1"/>
  </cols>
  <sheetData>
    <row r="1" spans="1:8" ht="21">
      <c r="A1" s="407" t="s">
        <v>79</v>
      </c>
    </row>
    <row r="2" spans="1:8" ht="35.549999999999997" customHeight="1">
      <c r="A2" s="264"/>
      <c r="B2" s="266" t="s">
        <v>224</v>
      </c>
      <c r="C2" s="267" t="str">
        <f>'04. Job Descriptions'!E4 &amp; " - " &amp; '04. Job Descriptions'!E3</f>
        <v>BANE01 - Associate Business Analyst</v>
      </c>
      <c r="D2" s="267" t="str">
        <f>'04. Job Descriptions'!F4 &amp; " - " &amp; '04. Job Descriptions'!F3</f>
        <v>BANE02 - Business Analyst</v>
      </c>
      <c r="E2" s="267" t="str">
        <f>'04. Job Descriptions'!G4 &amp; " - " &amp; '04. Job Descriptions'!G3</f>
        <v>BANE03 - Senior Business Analyst</v>
      </c>
      <c r="F2" s="267" t="str">
        <f>'04. Job Descriptions'!H4 &amp; " - " &amp; '04. Job Descriptions'!H3</f>
        <v>BANE04 - Business Analysis Leader</v>
      </c>
      <c r="G2" s="267" t="str">
        <f>'04. Job Descriptions'!I4 &amp; " - " &amp; '04. Job Descriptions'!I3</f>
        <v>BANE05 - Senior Business Analysis Consultant / Leader</v>
      </c>
      <c r="H2" s="267" t="str">
        <f>'04. Job Descriptions'!J4 &amp; " - " &amp; '04. Job Descriptions'!J3</f>
        <v>BANE06 - Principal Business Analysis Consultant / Leader</v>
      </c>
    </row>
    <row r="3" spans="1:8" ht="345" customHeight="1">
      <c r="A3" s="265" t="str">
        <f>'04. Job Descriptions'!B6</f>
        <v>Roles and Responsibilities</v>
      </c>
      <c r="B3" s="268" t="s">
        <v>645</v>
      </c>
      <c r="C3" s="411" t="s">
        <v>264</v>
      </c>
      <c r="D3" s="411" t="s">
        <v>265</v>
      </c>
      <c r="E3" s="412" t="s">
        <v>266</v>
      </c>
      <c r="F3" s="412" t="s">
        <v>267</v>
      </c>
      <c r="G3" s="412" t="s">
        <v>268</v>
      </c>
      <c r="H3" s="412" t="s">
        <v>268</v>
      </c>
    </row>
  </sheetData>
  <sheetProtection sheet="1" objects="1" scenarios="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R123"/>
  <sheetViews>
    <sheetView topLeftCell="A2" zoomScale="79" zoomScaleNormal="79" workbookViewId="0">
      <selection activeCell="C2" sqref="C2"/>
    </sheetView>
  </sheetViews>
  <sheetFormatPr defaultColWidth="8.77734375" defaultRowHeight="18.600000000000001" customHeight="1"/>
  <cols>
    <col min="1" max="1" width="3.33203125" style="74" customWidth="1"/>
    <col min="2" max="2" width="22.77734375" style="74" customWidth="1"/>
    <col min="3" max="3" width="14.77734375" style="74" customWidth="1"/>
    <col min="4" max="5" width="8.6640625" style="74" customWidth="1"/>
    <col min="6" max="6" width="12.44140625" style="74" customWidth="1"/>
    <col min="7" max="7" width="13.21875" style="74" customWidth="1"/>
    <col min="8" max="8" width="28.109375" style="74" customWidth="1"/>
    <col min="9" max="9" width="13.21875" style="74" customWidth="1"/>
    <col min="10" max="10" width="3.33203125" style="74" customWidth="1"/>
    <col min="11" max="11" width="4.21875" style="74" customWidth="1"/>
    <col min="12" max="12" width="40" style="74" customWidth="1"/>
    <col min="13" max="13" width="68.77734375" style="224" bestFit="1" customWidth="1"/>
    <col min="14" max="14" width="126.44140625" style="224" bestFit="1" customWidth="1"/>
    <col min="15" max="15" width="48" style="224" customWidth="1"/>
    <col min="16" max="16" width="37.77734375" style="224" customWidth="1"/>
    <col min="17" max="17" width="9.77734375" style="74" customWidth="1"/>
    <col min="18" max="16384" width="8.77734375" style="74"/>
  </cols>
  <sheetData>
    <row r="1" spans="1:18" s="72" customFormat="1" ht="18.600000000000001" customHeight="1">
      <c r="A1" s="407" t="s">
        <v>631</v>
      </c>
      <c r="K1" s="510" t="s">
        <v>147</v>
      </c>
      <c r="L1" s="510"/>
      <c r="M1" s="221" t="s">
        <v>29</v>
      </c>
      <c r="N1" s="225" t="s">
        <v>25</v>
      </c>
      <c r="O1" s="225"/>
      <c r="P1" s="221" t="s">
        <v>30</v>
      </c>
    </row>
    <row r="2" spans="1:18" ht="21" customHeight="1">
      <c r="B2" s="100" t="s">
        <v>149</v>
      </c>
      <c r="C2" s="233" t="s">
        <v>242</v>
      </c>
      <c r="D2" s="234"/>
      <c r="E2" s="234"/>
      <c r="F2" s="234"/>
      <c r="G2" s="234"/>
      <c r="H2" s="235"/>
      <c r="K2" s="73">
        <v>5</v>
      </c>
      <c r="L2" s="71" t="s">
        <v>656</v>
      </c>
      <c r="M2" s="194" t="str">
        <f>K2&amp;": "&amp;L2</f>
        <v>5: Design (BANE05/BANE06)</v>
      </c>
      <c r="N2" s="194" t="s">
        <v>100</v>
      </c>
      <c r="O2" s="193" t="s">
        <v>98</v>
      </c>
      <c r="P2" s="194" t="s">
        <v>0</v>
      </c>
      <c r="R2" s="75"/>
    </row>
    <row r="3" spans="1:18" ht="21" customHeight="1">
      <c r="B3" s="103" t="s">
        <v>150</v>
      </c>
      <c r="C3" s="236" t="s">
        <v>151</v>
      </c>
      <c r="D3" s="234"/>
      <c r="E3" s="234"/>
      <c r="F3" s="234"/>
      <c r="G3" s="234"/>
      <c r="H3" s="235"/>
      <c r="K3" s="73">
        <v>4</v>
      </c>
      <c r="L3" s="71" t="s">
        <v>641</v>
      </c>
      <c r="M3" s="194" t="str">
        <f t="shared" ref="M3:M6" si="0">K3&amp;": "&amp;L3</f>
        <v>4: Create (BANE04)</v>
      </c>
      <c r="N3" s="194" t="s">
        <v>99</v>
      </c>
      <c r="O3" s="193" t="s">
        <v>97</v>
      </c>
      <c r="P3" s="194" t="s">
        <v>1</v>
      </c>
      <c r="R3" s="75"/>
    </row>
    <row r="4" spans="1:18" ht="21" customHeight="1">
      <c r="B4" s="103" t="s">
        <v>152</v>
      </c>
      <c r="C4" s="236" t="s">
        <v>220</v>
      </c>
      <c r="D4" s="234"/>
      <c r="E4" s="234"/>
      <c r="F4" s="234"/>
      <c r="G4" s="234"/>
      <c r="H4" s="235"/>
      <c r="K4" s="73">
        <v>3</v>
      </c>
      <c r="L4" s="71" t="s">
        <v>648</v>
      </c>
      <c r="M4" s="194" t="str">
        <f t="shared" si="0"/>
        <v>3: Apply (BANE03)</v>
      </c>
      <c r="N4" s="194" t="s">
        <v>22</v>
      </c>
      <c r="O4" s="193" t="s">
        <v>96</v>
      </c>
      <c r="P4" s="194" t="s">
        <v>14</v>
      </c>
      <c r="R4" s="75"/>
    </row>
    <row r="5" spans="1:18" ht="21" customHeight="1">
      <c r="B5" s="103" t="s">
        <v>154</v>
      </c>
      <c r="C5" s="236" t="s">
        <v>220</v>
      </c>
      <c r="D5" s="234"/>
      <c r="E5" s="234"/>
      <c r="F5" s="234"/>
      <c r="G5" s="234"/>
      <c r="H5" s="235"/>
      <c r="K5" s="73">
        <v>2</v>
      </c>
      <c r="L5" s="71" t="s">
        <v>647</v>
      </c>
      <c r="M5" s="194" t="str">
        <f t="shared" si="0"/>
        <v>2: Assist (BANE02)</v>
      </c>
      <c r="N5" s="194" t="s">
        <v>23</v>
      </c>
      <c r="O5" s="193" t="s">
        <v>95</v>
      </c>
      <c r="P5" s="194" t="s">
        <v>2</v>
      </c>
    </row>
    <row r="6" spans="1:18" ht="21" customHeight="1">
      <c r="B6" s="103" t="s">
        <v>155</v>
      </c>
      <c r="C6" s="236" t="s">
        <v>153</v>
      </c>
      <c r="D6" s="234"/>
      <c r="E6" s="234"/>
      <c r="F6" s="234"/>
      <c r="G6" s="234"/>
      <c r="H6" s="235"/>
      <c r="K6" s="73">
        <v>1</v>
      </c>
      <c r="L6" s="71" t="s">
        <v>646</v>
      </c>
      <c r="M6" s="194" t="str">
        <f t="shared" si="0"/>
        <v>1: Follow (BANE01)</v>
      </c>
      <c r="N6" s="194" t="s">
        <v>28</v>
      </c>
      <c r="O6" s="193" t="s">
        <v>94</v>
      </c>
      <c r="P6" s="194" t="s">
        <v>3</v>
      </c>
    </row>
    <row r="7" spans="1:18" ht="18.600000000000001" customHeight="1">
      <c r="B7" s="103" t="s">
        <v>156</v>
      </c>
      <c r="C7" s="236" t="s">
        <v>243</v>
      </c>
      <c r="D7" s="234"/>
      <c r="E7" s="234"/>
      <c r="F7" s="234"/>
      <c r="G7" s="234"/>
      <c r="H7" s="235"/>
      <c r="K7" s="76"/>
      <c r="L7" s="76"/>
      <c r="M7" s="222"/>
      <c r="N7" s="222"/>
      <c r="O7" s="222"/>
    </row>
    <row r="8" spans="1:18" s="78" customFormat="1" ht="18.600000000000001" customHeight="1">
      <c r="B8" s="103" t="s">
        <v>157</v>
      </c>
      <c r="C8" s="236" t="s">
        <v>244</v>
      </c>
      <c r="D8" s="234"/>
      <c r="E8" s="234"/>
      <c r="F8" s="234"/>
      <c r="G8" s="234"/>
      <c r="H8" s="235"/>
      <c r="K8" s="77" t="s">
        <v>101</v>
      </c>
      <c r="L8" s="77"/>
      <c r="M8" s="221" t="s">
        <v>29</v>
      </c>
      <c r="N8" s="226"/>
      <c r="O8" s="226"/>
      <c r="P8" s="226"/>
    </row>
    <row r="9" spans="1:18" ht="18.600000000000001" customHeight="1">
      <c r="B9" s="103" t="s">
        <v>158</v>
      </c>
      <c r="C9" s="516" t="s">
        <v>245</v>
      </c>
      <c r="D9" s="517"/>
      <c r="E9" s="517"/>
      <c r="F9" s="517"/>
      <c r="G9" s="517"/>
      <c r="H9" s="518"/>
      <c r="K9" s="73">
        <v>8</v>
      </c>
      <c r="L9" s="191" t="s">
        <v>66</v>
      </c>
      <c r="M9" s="194" t="str">
        <f>K9&amp;": "&amp;L9</f>
        <v>8: &gt;15 years experience</v>
      </c>
    </row>
    <row r="10" spans="1:18" ht="18.600000000000001" customHeight="1">
      <c r="B10" s="103" t="s">
        <v>159</v>
      </c>
      <c r="C10" s="294">
        <f>MAX('09. Record of Change'!B4:B24)</f>
        <v>45000</v>
      </c>
      <c r="D10" s="104"/>
      <c r="E10" s="104"/>
      <c r="F10" s="104"/>
      <c r="G10" s="104"/>
      <c r="H10" s="105"/>
      <c r="K10" s="73">
        <v>7</v>
      </c>
      <c r="L10" s="191" t="s">
        <v>65</v>
      </c>
      <c r="M10" s="194" t="str">
        <f t="shared" ref="M10:M18" si="1">K10&amp;": "&amp;L10</f>
        <v>7: 13-15 years experience</v>
      </c>
    </row>
    <row r="11" spans="1:18" ht="18.600000000000001" customHeight="1">
      <c r="B11" s="106"/>
      <c r="C11" s="106"/>
      <c r="D11" s="106"/>
      <c r="E11" s="106"/>
      <c r="F11" s="107"/>
      <c r="G11" s="107"/>
      <c r="H11" s="107"/>
      <c r="K11" s="73">
        <v>6</v>
      </c>
      <c r="L11" s="191" t="s">
        <v>74</v>
      </c>
      <c r="M11" s="194" t="str">
        <f t="shared" si="1"/>
        <v>6: 10-12 years experience</v>
      </c>
    </row>
    <row r="12" spans="1:18" ht="18.600000000000001" customHeight="1">
      <c r="K12" s="73">
        <v>5</v>
      </c>
      <c r="L12" s="191" t="s">
        <v>64</v>
      </c>
      <c r="M12" s="194" t="str">
        <f t="shared" si="1"/>
        <v>5: 8-10 years experience</v>
      </c>
    </row>
    <row r="13" spans="1:18" ht="18.600000000000001" customHeight="1">
      <c r="B13" s="108" t="s">
        <v>160</v>
      </c>
      <c r="C13" s="109" t="s">
        <v>161</v>
      </c>
      <c r="D13" s="109" t="s">
        <v>162</v>
      </c>
      <c r="E13" s="110"/>
      <c r="F13" s="110"/>
      <c r="G13" s="109" t="s">
        <v>163</v>
      </c>
      <c r="H13" s="111"/>
      <c r="K13" s="73">
        <v>4</v>
      </c>
      <c r="L13" s="191" t="s">
        <v>63</v>
      </c>
      <c r="M13" s="194" t="str">
        <f t="shared" si="1"/>
        <v>4: 5-7 years experience</v>
      </c>
    </row>
    <row r="14" spans="1:18" ht="18.600000000000001" customHeight="1">
      <c r="B14" s="513" t="s">
        <v>611</v>
      </c>
      <c r="C14" s="112" t="s">
        <v>605</v>
      </c>
      <c r="D14" s="113" t="s">
        <v>248</v>
      </c>
      <c r="E14" s="101"/>
      <c r="F14" s="101"/>
      <c r="G14" s="113" t="s">
        <v>512</v>
      </c>
      <c r="H14" s="102"/>
      <c r="K14" s="73">
        <v>3</v>
      </c>
      <c r="L14" s="191" t="s">
        <v>62</v>
      </c>
      <c r="M14" s="194" t="str">
        <f t="shared" si="1"/>
        <v>3: 3-5 years experience</v>
      </c>
    </row>
    <row r="15" spans="1:18" ht="18.600000000000001" customHeight="1">
      <c r="B15" s="514"/>
      <c r="C15" s="112" t="s">
        <v>606</v>
      </c>
      <c r="D15" s="113" t="s">
        <v>242</v>
      </c>
      <c r="E15" s="101"/>
      <c r="F15" s="101"/>
      <c r="G15" s="113" t="s">
        <v>513</v>
      </c>
      <c r="H15" s="102"/>
      <c r="K15" s="73">
        <v>2</v>
      </c>
      <c r="L15" s="191" t="s">
        <v>61</v>
      </c>
      <c r="M15" s="194" t="str">
        <f t="shared" si="1"/>
        <v>2: 2-3 years experience</v>
      </c>
    </row>
    <row r="16" spans="1:18" ht="18.600000000000001" customHeight="1">
      <c r="B16" s="514"/>
      <c r="C16" s="112" t="s">
        <v>607</v>
      </c>
      <c r="D16" s="113" t="s">
        <v>249</v>
      </c>
      <c r="E16" s="101"/>
      <c r="F16" s="101"/>
      <c r="G16" s="113" t="s">
        <v>514</v>
      </c>
      <c r="H16" s="102"/>
      <c r="K16" s="73">
        <v>1</v>
      </c>
      <c r="L16" s="194" t="s">
        <v>59</v>
      </c>
      <c r="M16" s="194" t="str">
        <f t="shared" si="1"/>
        <v>1: ~1 year experience</v>
      </c>
    </row>
    <row r="17" spans="2:16" ht="18.600000000000001" customHeight="1">
      <c r="B17" s="514"/>
      <c r="C17" s="117" t="s">
        <v>608</v>
      </c>
      <c r="D17" s="118" t="s">
        <v>247</v>
      </c>
      <c r="E17" s="119"/>
      <c r="F17" s="119"/>
      <c r="G17" s="118" t="s">
        <v>515</v>
      </c>
      <c r="H17" s="120"/>
      <c r="K17" s="73">
        <v>0</v>
      </c>
      <c r="L17" s="194" t="s">
        <v>27</v>
      </c>
      <c r="M17" s="194" t="str">
        <f t="shared" ref="M17" si="2">K17&amp;": "&amp;L17</f>
        <v>0: Fundamental awareness</v>
      </c>
    </row>
    <row r="18" spans="2:16" ht="18.600000000000001" customHeight="1">
      <c r="B18" s="514"/>
      <c r="C18" s="117" t="s">
        <v>608</v>
      </c>
      <c r="D18" s="118" t="s">
        <v>246</v>
      </c>
      <c r="E18" s="119"/>
      <c r="F18" s="119"/>
      <c r="G18" s="118" t="s">
        <v>516</v>
      </c>
      <c r="H18" s="120"/>
      <c r="K18" s="73">
        <v>0</v>
      </c>
      <c r="L18" s="194" t="s">
        <v>168</v>
      </c>
      <c r="M18" s="194" t="str">
        <f t="shared" si="1"/>
        <v>0: Not Required</v>
      </c>
    </row>
    <row r="19" spans="2:16" s="81" customFormat="1" ht="18.600000000000001" customHeight="1">
      <c r="B19" s="514"/>
      <c r="C19" s="112" t="s">
        <v>609</v>
      </c>
      <c r="D19" s="113" t="s">
        <v>612</v>
      </c>
      <c r="E19" s="101"/>
      <c r="F19" s="101"/>
      <c r="G19" s="113" t="s">
        <v>517</v>
      </c>
      <c r="H19" s="102"/>
      <c r="K19" s="79"/>
      <c r="L19" s="199"/>
      <c r="M19" s="199"/>
      <c r="N19" s="197"/>
      <c r="O19" s="197"/>
      <c r="P19" s="197"/>
    </row>
    <row r="20" spans="2:16" ht="18.600000000000001" customHeight="1">
      <c r="B20" s="515"/>
      <c r="C20" s="112" t="s">
        <v>610</v>
      </c>
      <c r="D20" s="113" t="s">
        <v>613</v>
      </c>
      <c r="E20" s="101"/>
      <c r="F20" s="101"/>
      <c r="G20" s="113" t="s">
        <v>518</v>
      </c>
      <c r="H20" s="102"/>
      <c r="K20" s="82" t="s">
        <v>310</v>
      </c>
      <c r="L20" s="201"/>
      <c r="M20" s="221" t="s">
        <v>29</v>
      </c>
      <c r="N20" s="221" t="s">
        <v>30</v>
      </c>
    </row>
    <row r="21" spans="2:16" ht="19.05" customHeight="1">
      <c r="B21" s="114"/>
      <c r="C21" s="114"/>
      <c r="D21" s="114"/>
      <c r="E21" s="114"/>
      <c r="F21" s="114"/>
      <c r="G21" s="114"/>
      <c r="H21" s="114"/>
      <c r="K21" s="73">
        <v>4</v>
      </c>
      <c r="L21" s="191" t="s">
        <v>305</v>
      </c>
      <c r="M21" s="194" t="str">
        <f>K21&amp;": "&amp;L21</f>
        <v>4: Global Level</v>
      </c>
      <c r="N21" s="194" t="s">
        <v>309</v>
      </c>
    </row>
    <row r="22" spans="2:16" ht="19.05" customHeight="1">
      <c r="B22" s="114"/>
      <c r="C22" s="115"/>
      <c r="D22" s="114"/>
      <c r="E22" s="114"/>
      <c r="F22" s="114"/>
      <c r="G22" s="114"/>
      <c r="H22" s="114"/>
      <c r="K22" s="73">
        <v>3</v>
      </c>
      <c r="L22" s="191" t="s">
        <v>304</v>
      </c>
      <c r="M22" s="194" t="str">
        <f t="shared" ref="M22:M25" si="3">K22&amp;": "&amp;L22</f>
        <v>3: FSOFT Level</v>
      </c>
      <c r="N22" s="194" t="s">
        <v>308</v>
      </c>
    </row>
    <row r="23" spans="2:16" ht="19.05" customHeight="1">
      <c r="B23" s="114" t="s">
        <v>164</v>
      </c>
      <c r="C23" s="114"/>
      <c r="D23" s="114"/>
      <c r="E23" s="114"/>
      <c r="F23" s="114"/>
      <c r="G23" s="114"/>
      <c r="H23" s="114"/>
      <c r="K23" s="73">
        <v>2</v>
      </c>
      <c r="L23" s="191" t="s">
        <v>303</v>
      </c>
      <c r="M23" s="194" t="str">
        <f t="shared" si="3"/>
        <v>2: FSU Level</v>
      </c>
      <c r="N23" s="194" t="s">
        <v>307</v>
      </c>
    </row>
    <row r="24" spans="2:16" ht="19.05" customHeight="1">
      <c r="B24" s="114" t="s">
        <v>165</v>
      </c>
      <c r="C24" s="114"/>
      <c r="D24" s="114"/>
      <c r="E24" s="114"/>
      <c r="F24" s="114"/>
      <c r="G24" s="114"/>
      <c r="H24" s="114"/>
      <c r="K24" s="73">
        <v>1</v>
      </c>
      <c r="L24" s="191" t="s">
        <v>302</v>
      </c>
      <c r="M24" s="194" t="str">
        <f t="shared" ref="M24" si="4">K24&amp;": "&amp;L24</f>
        <v>1: BU Level</v>
      </c>
      <c r="N24" s="194" t="s">
        <v>306</v>
      </c>
    </row>
    <row r="25" spans="2:16" ht="19.05" customHeight="1">
      <c r="B25" s="114" t="s">
        <v>166</v>
      </c>
      <c r="C25" s="114"/>
      <c r="D25" s="114"/>
      <c r="E25" s="114"/>
      <c r="F25" s="114"/>
      <c r="G25" s="114"/>
      <c r="H25" s="114"/>
      <c r="K25" s="73">
        <v>0</v>
      </c>
      <c r="L25" s="191" t="s">
        <v>172</v>
      </c>
      <c r="M25" s="194" t="str">
        <f t="shared" si="3"/>
        <v>0: Not Requried</v>
      </c>
      <c r="N25" s="194" t="s">
        <v>311</v>
      </c>
    </row>
    <row r="26" spans="2:16" ht="18.600000000000001" customHeight="1">
      <c r="B26" s="114" t="s">
        <v>167</v>
      </c>
      <c r="C26" s="114"/>
      <c r="D26" s="116"/>
      <c r="E26" s="114"/>
      <c r="F26" s="114"/>
      <c r="G26" s="114"/>
      <c r="H26" s="114"/>
      <c r="K26" s="84"/>
      <c r="L26" s="85"/>
      <c r="M26" s="195"/>
      <c r="N26" s="227"/>
    </row>
    <row r="27" spans="2:16" s="78" customFormat="1" ht="18.600000000000001" customHeight="1">
      <c r="B27" s="74" t="s">
        <v>615</v>
      </c>
      <c r="C27" s="114"/>
      <c r="D27" s="114"/>
      <c r="E27" s="114"/>
      <c r="F27" s="114"/>
      <c r="G27" s="114"/>
      <c r="H27" s="114"/>
      <c r="K27" s="77" t="s">
        <v>276</v>
      </c>
      <c r="L27" s="77"/>
      <c r="M27" s="221" t="s">
        <v>29</v>
      </c>
      <c r="N27" s="221" t="s">
        <v>30</v>
      </c>
      <c r="O27" s="226"/>
      <c r="P27" s="226"/>
    </row>
    <row r="28" spans="2:16" ht="64.5" customHeight="1">
      <c r="C28" s="114"/>
      <c r="D28" s="114"/>
      <c r="E28" s="114"/>
      <c r="F28" s="114"/>
      <c r="G28" s="114"/>
      <c r="H28" s="114"/>
      <c r="K28" s="196">
        <v>5</v>
      </c>
      <c r="L28" s="194" t="s">
        <v>273</v>
      </c>
      <c r="M28" s="194" t="str">
        <f>K28&amp;": "&amp;L28</f>
        <v>5: Very Complex</v>
      </c>
      <c r="N28" s="194" t="s">
        <v>270</v>
      </c>
    </row>
    <row r="29" spans="2:16" ht="66" customHeight="1">
      <c r="C29" s="114"/>
      <c r="D29" s="114"/>
      <c r="E29" s="114"/>
      <c r="F29" s="114"/>
      <c r="G29" s="114"/>
      <c r="H29" s="114"/>
      <c r="K29" s="196">
        <v>4</v>
      </c>
      <c r="L29" s="194" t="s">
        <v>272</v>
      </c>
      <c r="M29" s="194" t="str">
        <f>K29&amp;": "&amp;L29</f>
        <v>4: Complex</v>
      </c>
      <c r="N29" s="194" t="s">
        <v>269</v>
      </c>
    </row>
    <row r="30" spans="2:16" ht="43.05" customHeight="1">
      <c r="C30" s="114"/>
      <c r="D30" s="114"/>
      <c r="E30" s="114"/>
      <c r="F30" s="114"/>
      <c r="G30" s="114"/>
      <c r="H30" s="114"/>
      <c r="K30" s="196">
        <v>3</v>
      </c>
      <c r="L30" s="194" t="s">
        <v>271</v>
      </c>
      <c r="M30" s="194" t="str">
        <f t="shared" ref="M30:M34" si="5">K30&amp;": "&amp;L30</f>
        <v>3: Medium</v>
      </c>
      <c r="N30" s="194" t="s">
        <v>316</v>
      </c>
    </row>
    <row r="31" spans="2:16" ht="28.95" customHeight="1">
      <c r="K31" s="196">
        <v>2</v>
      </c>
      <c r="L31" s="194" t="s">
        <v>274</v>
      </c>
      <c r="M31" s="194" t="str">
        <f t="shared" si="5"/>
        <v>2: Normal</v>
      </c>
      <c r="N31" s="194" t="s">
        <v>315</v>
      </c>
    </row>
    <row r="32" spans="2:16" ht="18.600000000000001" customHeight="1">
      <c r="K32" s="196">
        <v>1</v>
      </c>
      <c r="L32" s="194" t="s">
        <v>275</v>
      </c>
      <c r="M32" s="194" t="str">
        <f t="shared" si="5"/>
        <v>1: Low</v>
      </c>
      <c r="N32" s="194" t="s">
        <v>317</v>
      </c>
    </row>
    <row r="33" spans="11:16" ht="18.600000000000001" customHeight="1">
      <c r="K33" s="196">
        <v>0</v>
      </c>
      <c r="L33" s="194" t="s">
        <v>313</v>
      </c>
      <c r="M33" s="194" t="str">
        <f t="shared" ref="M33" si="6">K33&amp;": "&amp;L33</f>
        <v>0: No Complexity</v>
      </c>
      <c r="N33" s="194" t="s">
        <v>313</v>
      </c>
    </row>
    <row r="34" spans="11:16" ht="18.600000000000001" customHeight="1">
      <c r="K34" s="196">
        <v>0</v>
      </c>
      <c r="L34" s="194" t="s">
        <v>314</v>
      </c>
      <c r="M34" s="194" t="str">
        <f t="shared" si="5"/>
        <v>0: Not Required.</v>
      </c>
      <c r="N34" s="194" t="s">
        <v>314</v>
      </c>
    </row>
    <row r="35" spans="11:16" s="81" customFormat="1" ht="18.600000000000001" customHeight="1">
      <c r="K35" s="197"/>
      <c r="L35" s="198"/>
      <c r="M35" s="199"/>
      <c r="N35" s="228">
        <f>1500*3000</f>
        <v>4500000</v>
      </c>
      <c r="O35" s="197"/>
      <c r="P35" s="197"/>
    </row>
    <row r="36" spans="11:16" s="78" customFormat="1" ht="18.600000000000001" customHeight="1">
      <c r="K36" s="511" t="s">
        <v>122</v>
      </c>
      <c r="L36" s="512"/>
      <c r="M36" s="221" t="s">
        <v>29</v>
      </c>
      <c r="N36" s="221" t="s">
        <v>31</v>
      </c>
      <c r="O36" s="226"/>
      <c r="P36" s="226"/>
    </row>
    <row r="37" spans="11:16" ht="18.600000000000001" customHeight="1">
      <c r="K37" s="196">
        <v>4</v>
      </c>
      <c r="L37" s="191" t="s">
        <v>336</v>
      </c>
      <c r="M37" s="194" t="str">
        <f>K37&amp;": "&amp;L37</f>
        <v>4: &gt;20 Members or Coaching 3-4 Senior BA</v>
      </c>
      <c r="N37" s="194" t="s">
        <v>102</v>
      </c>
    </row>
    <row r="38" spans="11:16" ht="18.600000000000001" customHeight="1">
      <c r="K38" s="196">
        <v>3</v>
      </c>
      <c r="L38" s="191" t="s">
        <v>337</v>
      </c>
      <c r="M38" s="194" t="str">
        <f t="shared" ref="M38:M42" si="7">K38&amp;": "&amp;L38</f>
        <v>3: 10-20 Members or Coaching 1-2 Senior BA</v>
      </c>
      <c r="N38" s="194" t="s">
        <v>102</v>
      </c>
    </row>
    <row r="39" spans="11:16" ht="18.600000000000001" customHeight="1">
      <c r="K39" s="196">
        <v>2</v>
      </c>
      <c r="L39" s="191" t="s">
        <v>338</v>
      </c>
      <c r="M39" s="194" t="str">
        <f t="shared" si="7"/>
        <v>2: 5-10 Members or Coaching 3-4 Junior BA</v>
      </c>
      <c r="N39" s="194" t="s">
        <v>102</v>
      </c>
    </row>
    <row r="40" spans="11:16" ht="18.600000000000001" customHeight="1">
      <c r="K40" s="196">
        <v>1</v>
      </c>
      <c r="L40" s="191" t="s">
        <v>339</v>
      </c>
      <c r="M40" s="194" t="str">
        <f t="shared" si="7"/>
        <v>1: 1-5 Members or Coaching 1-2 Junior BA</v>
      </c>
      <c r="N40" s="194" t="s">
        <v>102</v>
      </c>
    </row>
    <row r="41" spans="11:16" ht="18.600000000000001" customHeight="1">
      <c r="K41" s="196">
        <v>0</v>
      </c>
      <c r="L41" s="191" t="s">
        <v>169</v>
      </c>
      <c r="M41" s="194" t="str">
        <f t="shared" ref="M41" si="8">K41&amp;": "&amp;L41</f>
        <v>0: No Member/No Contribution</v>
      </c>
      <c r="N41" s="194" t="s">
        <v>102</v>
      </c>
    </row>
    <row r="42" spans="11:16" ht="18.600000000000001" customHeight="1">
      <c r="K42" s="196">
        <v>0</v>
      </c>
      <c r="L42" s="191" t="s">
        <v>168</v>
      </c>
      <c r="M42" s="194" t="str">
        <f t="shared" si="7"/>
        <v>0: Not Required</v>
      </c>
      <c r="N42" s="194" t="s">
        <v>168</v>
      </c>
    </row>
    <row r="43" spans="11:16" s="81" customFormat="1" ht="18.600000000000001" customHeight="1">
      <c r="K43" s="197"/>
      <c r="L43" s="199"/>
      <c r="M43" s="199"/>
      <c r="N43" s="199"/>
      <c r="O43" s="197"/>
      <c r="P43" s="197"/>
    </row>
    <row r="44" spans="11:16" s="78" customFormat="1" ht="18.600000000000001" customHeight="1">
      <c r="K44" s="92" t="s">
        <v>123</v>
      </c>
      <c r="L44" s="92"/>
      <c r="M44" s="221" t="s">
        <v>29</v>
      </c>
      <c r="N44" s="221" t="s">
        <v>30</v>
      </c>
      <c r="O44" s="226"/>
      <c r="P44" s="226"/>
    </row>
    <row r="45" spans="11:16" ht="18.600000000000001" customHeight="1">
      <c r="K45" s="196">
        <v>4</v>
      </c>
      <c r="L45" s="194" t="s">
        <v>340</v>
      </c>
      <c r="M45" s="194" t="str">
        <f>K45&amp;": "&amp;L45</f>
        <v>4: Coaching 3-4 Senior BA</v>
      </c>
      <c r="N45" s="194"/>
    </row>
    <row r="46" spans="11:16" ht="18.600000000000001" customHeight="1">
      <c r="K46" s="196">
        <v>3</v>
      </c>
      <c r="L46" s="194" t="s">
        <v>341</v>
      </c>
      <c r="M46" s="194" t="str">
        <f t="shared" ref="M46:M50" si="9">K46&amp;": "&amp;L46</f>
        <v>3: Coaching 1-2 Senior BA</v>
      </c>
      <c r="N46" s="194"/>
    </row>
    <row r="47" spans="11:16" ht="18.600000000000001" customHeight="1">
      <c r="K47" s="196">
        <v>2</v>
      </c>
      <c r="L47" s="194" t="s">
        <v>342</v>
      </c>
      <c r="M47" s="194" t="str">
        <f t="shared" si="9"/>
        <v>2: Coaching 3-4 Junior BA</v>
      </c>
      <c r="N47" s="194"/>
    </row>
    <row r="48" spans="11:16" ht="18.600000000000001" customHeight="1">
      <c r="K48" s="196">
        <v>1</v>
      </c>
      <c r="L48" s="200" t="s">
        <v>343</v>
      </c>
      <c r="M48" s="194" t="str">
        <f t="shared" si="9"/>
        <v>1: Coaching 1-2 Junior BA</v>
      </c>
      <c r="N48" s="194"/>
    </row>
    <row r="49" spans="11:16" ht="18.600000000000001" customHeight="1">
      <c r="K49" s="196">
        <v>0</v>
      </c>
      <c r="L49" s="194" t="s">
        <v>49</v>
      </c>
      <c r="M49" s="194" t="str">
        <f t="shared" ref="M49" si="10">K49&amp;": "&amp;L49</f>
        <v>0: No Contribution</v>
      </c>
      <c r="N49" s="194"/>
    </row>
    <row r="50" spans="11:16" ht="18.600000000000001" customHeight="1">
      <c r="K50" s="196">
        <v>0</v>
      </c>
      <c r="L50" s="194" t="s">
        <v>170</v>
      </c>
      <c r="M50" s="194" t="str">
        <f t="shared" si="9"/>
        <v>0: No Required</v>
      </c>
      <c r="N50" s="194"/>
    </row>
    <row r="51" spans="11:16" s="81" customFormat="1" ht="18.600000000000001" customHeight="1">
      <c r="K51" s="79"/>
      <c r="L51" s="80"/>
      <c r="M51" s="197"/>
      <c r="N51" s="197"/>
      <c r="O51" s="197"/>
      <c r="P51" s="197"/>
    </row>
    <row r="52" spans="11:16" ht="18.600000000000001" customHeight="1">
      <c r="K52" s="77" t="s">
        <v>71</v>
      </c>
      <c r="L52" s="86"/>
      <c r="M52" s="221" t="s">
        <v>29</v>
      </c>
      <c r="N52" s="221" t="s">
        <v>30</v>
      </c>
    </row>
    <row r="53" spans="11:16" ht="18.45" customHeight="1">
      <c r="K53" s="73">
        <v>6</v>
      </c>
      <c r="L53" s="194" t="s">
        <v>4</v>
      </c>
      <c r="M53" s="194" t="str">
        <f>K53&amp;": "&amp;L53</f>
        <v>6: Master</v>
      </c>
      <c r="N53" s="194" t="s">
        <v>5</v>
      </c>
    </row>
    <row r="54" spans="11:16" ht="100.05" customHeight="1">
      <c r="K54" s="73">
        <v>5</v>
      </c>
      <c r="L54" s="194" t="s">
        <v>6</v>
      </c>
      <c r="M54" s="194" t="str">
        <f t="shared" ref="M54:M60" si="11">K54&amp;": "&amp;L54</f>
        <v>5: Expert</v>
      </c>
      <c r="N54" s="227" t="s">
        <v>456</v>
      </c>
    </row>
    <row r="55" spans="11:16" ht="89.55" customHeight="1">
      <c r="K55" s="73">
        <v>4</v>
      </c>
      <c r="L55" s="194" t="s">
        <v>17</v>
      </c>
      <c r="M55" s="194" t="str">
        <f t="shared" si="11"/>
        <v>4: Advanced</v>
      </c>
      <c r="N55" s="322" t="s">
        <v>457</v>
      </c>
    </row>
    <row r="56" spans="11:16" ht="61.5" customHeight="1">
      <c r="K56" s="73">
        <v>3</v>
      </c>
      <c r="L56" s="194" t="s">
        <v>18</v>
      </c>
      <c r="M56" s="194" t="str">
        <f t="shared" si="11"/>
        <v>3: Intermediate</v>
      </c>
      <c r="N56" s="227" t="s">
        <v>458</v>
      </c>
    </row>
    <row r="57" spans="11:16" ht="63" customHeight="1">
      <c r="K57" s="73">
        <v>2</v>
      </c>
      <c r="L57" s="194" t="s">
        <v>19</v>
      </c>
      <c r="M57" s="194" t="str">
        <f t="shared" si="11"/>
        <v>2: Limited Experience</v>
      </c>
      <c r="N57" s="227" t="s">
        <v>640</v>
      </c>
    </row>
    <row r="58" spans="11:16" ht="30.45" customHeight="1">
      <c r="K58" s="73">
        <v>1</v>
      </c>
      <c r="L58" s="194" t="s">
        <v>20</v>
      </c>
      <c r="M58" s="194" t="str">
        <f t="shared" si="11"/>
        <v>1: Fundamental Awareness</v>
      </c>
      <c r="N58" s="227" t="s">
        <v>459</v>
      </c>
    </row>
    <row r="59" spans="11:16" ht="20.55" customHeight="1">
      <c r="K59" s="73">
        <v>0</v>
      </c>
      <c r="L59" s="194" t="s">
        <v>7</v>
      </c>
      <c r="M59" s="194" t="str">
        <f t="shared" ref="M59" si="12">K59&amp;": "&amp;L59</f>
        <v>0: No Knowledge</v>
      </c>
      <c r="N59" s="194" t="s">
        <v>8</v>
      </c>
    </row>
    <row r="60" spans="11:16" ht="20.55" customHeight="1">
      <c r="K60" s="73">
        <v>0</v>
      </c>
      <c r="L60" s="194" t="s">
        <v>168</v>
      </c>
      <c r="M60" s="194" t="str">
        <f t="shared" si="11"/>
        <v>0: Not Required</v>
      </c>
      <c r="N60" s="194" t="s">
        <v>171</v>
      </c>
    </row>
    <row r="61" spans="11:16" s="81" customFormat="1" ht="18.600000000000001" customHeight="1">
      <c r="K61" s="84"/>
      <c r="L61" s="195"/>
      <c r="M61" s="195"/>
      <c r="N61" s="195"/>
      <c r="O61" s="197"/>
      <c r="P61" s="197"/>
    </row>
    <row r="62" spans="11:16" s="78" customFormat="1" ht="18.600000000000001" customHeight="1">
      <c r="K62" s="77" t="s">
        <v>72</v>
      </c>
      <c r="L62" s="92"/>
      <c r="M62" s="221" t="s">
        <v>29</v>
      </c>
      <c r="N62" s="221" t="s">
        <v>30</v>
      </c>
      <c r="O62" s="226"/>
      <c r="P62" s="226"/>
    </row>
    <row r="63" spans="11:16" ht="37.200000000000003" customHeight="1">
      <c r="K63" s="73">
        <v>7</v>
      </c>
      <c r="L63" s="191" t="s">
        <v>497</v>
      </c>
      <c r="M63" s="194" t="str">
        <f>K63&amp;": "&amp;L63</f>
        <v>7: TOEIC &gt;901, TOELF iBT 96-120, IELTS 8.6-9.0, CEFR C2, JP N1 or equivalent</v>
      </c>
      <c r="N63" s="194" t="s">
        <v>13</v>
      </c>
    </row>
    <row r="64" spans="11:16" ht="37.200000000000003" customHeight="1">
      <c r="K64" s="73">
        <v>6</v>
      </c>
      <c r="L64" s="191" t="s">
        <v>498</v>
      </c>
      <c r="M64" s="194" t="str">
        <f t="shared" ref="M64:M71" si="13">K64&amp;": "&amp;L64</f>
        <v>6: TOEIC 801-900, TOELF iBT 81-95, IELTS 7.6-8.5, CEFR C1, JP N2 or equivalent</v>
      </c>
      <c r="N64" s="194" t="s">
        <v>12</v>
      </c>
    </row>
    <row r="65" spans="11:16" ht="37.200000000000003" customHeight="1">
      <c r="K65" s="73">
        <v>5</v>
      </c>
      <c r="L65" s="191" t="s">
        <v>499</v>
      </c>
      <c r="M65" s="194" t="str">
        <f t="shared" si="13"/>
        <v>5: TOEIC 701-800, TOELF iBT 71-80, IELTS 6.6-7.5, CEFR B2+, JP N3+ or equivalent</v>
      </c>
      <c r="N65" s="194" t="s">
        <v>12</v>
      </c>
    </row>
    <row r="66" spans="11:16" ht="37.200000000000003" customHeight="1">
      <c r="K66" s="73">
        <v>4</v>
      </c>
      <c r="L66" s="191" t="s">
        <v>500</v>
      </c>
      <c r="M66" s="194" t="str">
        <f t="shared" si="13"/>
        <v>4: TOEIC 601-700, TOELF iBT 61-70, IELTS 5.6-6.5, CEFR B2, JP N3 or equivalent</v>
      </c>
      <c r="N66" s="194" t="s">
        <v>11</v>
      </c>
    </row>
    <row r="67" spans="11:16" ht="37.200000000000003" customHeight="1">
      <c r="K67" s="73">
        <v>3</v>
      </c>
      <c r="L67" s="191" t="s">
        <v>501</v>
      </c>
      <c r="M67" s="194" t="str">
        <f t="shared" si="13"/>
        <v>3: TOEIC 501-600, TOELF iBT 51-60, IELTS 4.6-5.5, CEFR B1+, JP N4+ or equivalent</v>
      </c>
      <c r="N67" s="194" t="s">
        <v>10</v>
      </c>
    </row>
    <row r="68" spans="11:16" ht="37.200000000000003" customHeight="1">
      <c r="K68" s="73">
        <v>2</v>
      </c>
      <c r="L68" s="191" t="s">
        <v>502</v>
      </c>
      <c r="M68" s="194" t="str">
        <f t="shared" si="13"/>
        <v>2: TOEIC 451-500, TOELF iBT 42-50, IELTS 4.0-4.5, CEFR B1, JP N4 or equivalent</v>
      </c>
      <c r="N68" s="194" t="s">
        <v>9</v>
      </c>
    </row>
    <row r="69" spans="11:16" ht="37.200000000000003" customHeight="1">
      <c r="K69" s="73">
        <v>1</v>
      </c>
      <c r="L69" s="191" t="s">
        <v>510</v>
      </c>
      <c r="M69" s="194" t="str">
        <f t="shared" si="13"/>
        <v>1: TOEIC &lt;=450, TOELF iBT &lt;=41, IELTS 3.5-3.9, CEFR A2, JP N5 or equivalent</v>
      </c>
      <c r="N69" s="194" t="s">
        <v>15</v>
      </c>
    </row>
    <row r="70" spans="11:16" ht="37.200000000000003" customHeight="1">
      <c r="K70" s="73">
        <v>0</v>
      </c>
      <c r="L70" s="191" t="s">
        <v>24</v>
      </c>
      <c r="M70" s="194" t="str">
        <f t="shared" ref="M70" si="14">K70&amp;": "&amp;L70</f>
        <v>0: No Practical Proficiency</v>
      </c>
      <c r="N70" s="194"/>
    </row>
    <row r="71" spans="11:16" ht="37.200000000000003" customHeight="1">
      <c r="K71" s="73">
        <v>0</v>
      </c>
      <c r="L71" s="191" t="s">
        <v>168</v>
      </c>
      <c r="M71" s="194" t="str">
        <f t="shared" si="13"/>
        <v>0: Not Required</v>
      </c>
      <c r="N71" s="194"/>
    </row>
    <row r="72" spans="11:16" s="81" customFormat="1" ht="18.600000000000001" customHeight="1">
      <c r="K72" s="79"/>
      <c r="M72" s="222"/>
      <c r="N72" s="224"/>
      <c r="O72" s="224"/>
      <c r="P72" s="197"/>
    </row>
    <row r="73" spans="11:16" s="78" customFormat="1" ht="18.600000000000001" customHeight="1">
      <c r="K73" s="77" t="s">
        <v>349</v>
      </c>
      <c r="L73" s="77"/>
      <c r="M73" s="221" t="s">
        <v>16</v>
      </c>
      <c r="N73" s="221" t="s">
        <v>30</v>
      </c>
      <c r="O73" s="226"/>
      <c r="P73" s="226"/>
    </row>
    <row r="74" spans="11:16" ht="34.799999999999997" customHeight="1">
      <c r="K74" s="73">
        <v>5</v>
      </c>
      <c r="L74" s="191" t="s">
        <v>344</v>
      </c>
      <c r="M74" s="194" t="str">
        <f>K74&amp;": "&amp;L74</f>
        <v>5: &gt;=4 Certificates of Business Analyst Advance or upper Advance</v>
      </c>
      <c r="N74" s="194"/>
    </row>
    <row r="75" spans="11:16" ht="34.799999999999997" customHeight="1">
      <c r="K75" s="73">
        <v>4</v>
      </c>
      <c r="L75" s="191" t="s">
        <v>345</v>
      </c>
      <c r="M75" s="194" t="str">
        <f t="shared" ref="M75:M80" si="15">K75&amp;": "&amp;L75</f>
        <v>4: &gt;=3 Certificates of Business Analyst Advance or Equivalent</v>
      </c>
      <c r="N75" s="194"/>
    </row>
    <row r="76" spans="11:16" ht="34.799999999999997" customHeight="1">
      <c r="K76" s="73">
        <v>3</v>
      </c>
      <c r="L76" s="191" t="s">
        <v>346</v>
      </c>
      <c r="M76" s="194" t="str">
        <f t="shared" si="15"/>
        <v>3: &gt;=2 Certificates of Business Analyst Advance or Equivalent</v>
      </c>
      <c r="N76" s="194"/>
    </row>
    <row r="77" spans="11:16" ht="34.799999999999997" customHeight="1">
      <c r="K77" s="73">
        <v>2</v>
      </c>
      <c r="L77" s="191" t="s">
        <v>347</v>
      </c>
      <c r="M77" s="194" t="str">
        <f t="shared" si="15"/>
        <v>2: Certified Business Analyst Advance or Equivalent</v>
      </c>
      <c r="N77" s="194"/>
    </row>
    <row r="78" spans="11:16" ht="34.799999999999997" customHeight="1">
      <c r="K78" s="73">
        <v>1</v>
      </c>
      <c r="L78" s="191" t="s">
        <v>348</v>
      </c>
      <c r="M78" s="194" t="str">
        <f t="shared" si="15"/>
        <v>1: At least 1 Certified Business Analyst Foundation or Equivalent</v>
      </c>
      <c r="N78" s="194"/>
    </row>
    <row r="79" spans="11:16" ht="34.799999999999997" customHeight="1">
      <c r="K79" s="73">
        <v>0</v>
      </c>
      <c r="L79" s="194" t="s">
        <v>21</v>
      </c>
      <c r="M79" s="194" t="str">
        <f t="shared" ref="M79" si="16">K79&amp;": "&amp;L79</f>
        <v>0: No Certificate or Award</v>
      </c>
      <c r="N79" s="194"/>
    </row>
    <row r="80" spans="11:16" ht="34.799999999999997" customHeight="1">
      <c r="K80" s="73">
        <v>0</v>
      </c>
      <c r="L80" s="194" t="s">
        <v>168</v>
      </c>
      <c r="M80" s="194" t="str">
        <f t="shared" si="15"/>
        <v>0: Not Required</v>
      </c>
      <c r="N80" s="194"/>
    </row>
    <row r="82" spans="11:13" ht="18.600000000000001" customHeight="1">
      <c r="K82" s="82" t="s">
        <v>73</v>
      </c>
      <c r="L82" s="83"/>
      <c r="M82" s="221" t="s">
        <v>16</v>
      </c>
    </row>
    <row r="83" spans="11:13" ht="18.600000000000001" customHeight="1">
      <c r="K83" s="73">
        <v>4</v>
      </c>
      <c r="L83" s="191" t="s">
        <v>78</v>
      </c>
      <c r="M83" s="194" t="str">
        <f>K83&amp;": "&amp;L83</f>
        <v>4: Join &gt;=7 training or workshop</v>
      </c>
    </row>
    <row r="84" spans="11:13" ht="18.600000000000001" customHeight="1">
      <c r="K84" s="73">
        <v>3</v>
      </c>
      <c r="L84" s="191" t="s">
        <v>75</v>
      </c>
      <c r="M84" s="194" t="str">
        <f>K84&amp;": "&amp;L84</f>
        <v>3: Join &gt;=5 training or workshop</v>
      </c>
    </row>
    <row r="85" spans="11:13" ht="18.600000000000001" customHeight="1">
      <c r="K85" s="73">
        <v>2</v>
      </c>
      <c r="L85" s="191" t="s">
        <v>89</v>
      </c>
      <c r="M85" s="191" t="str">
        <f t="shared" ref="M85:M87" si="17">K85&amp;": "&amp;L85</f>
        <v>2: Join &gt;=3 training or workshop</v>
      </c>
    </row>
    <row r="86" spans="11:13" ht="18.600000000000001" customHeight="1">
      <c r="K86" s="73">
        <v>1</v>
      </c>
      <c r="L86" s="191" t="s">
        <v>77</v>
      </c>
      <c r="M86" s="194" t="str">
        <f t="shared" si="17"/>
        <v>1: Join &lt;=2 training or workshop</v>
      </c>
    </row>
    <row r="87" spans="11:13" ht="18.600000000000001" customHeight="1">
      <c r="K87" s="73">
        <v>0</v>
      </c>
      <c r="L87" s="194" t="s">
        <v>76</v>
      </c>
      <c r="M87" s="194" t="str">
        <f t="shared" si="17"/>
        <v>0: No training/workshop</v>
      </c>
    </row>
    <row r="88" spans="11:13" ht="18.600000000000001" customHeight="1">
      <c r="K88" s="73">
        <v>0</v>
      </c>
      <c r="L88" s="194" t="s">
        <v>168</v>
      </c>
      <c r="M88" s="194" t="str">
        <f t="shared" ref="M88" si="18">K88&amp;": "&amp;L88</f>
        <v>0: Not Required</v>
      </c>
    </row>
    <row r="90" spans="11:13" ht="18.600000000000001" customHeight="1">
      <c r="K90" s="82" t="s">
        <v>105</v>
      </c>
      <c r="L90" s="83"/>
      <c r="M90" s="221" t="s">
        <v>16</v>
      </c>
    </row>
    <row r="91" spans="11:13" ht="18.600000000000001" customHeight="1">
      <c r="K91" s="73">
        <v>4</v>
      </c>
      <c r="L91" s="191" t="s">
        <v>107</v>
      </c>
      <c r="M91" s="194" t="str">
        <f>K91&amp;": "&amp;L91</f>
        <v>4: Lecturer of Technical workshop of FSOFT</v>
      </c>
    </row>
    <row r="92" spans="11:13" ht="18.600000000000001" customHeight="1">
      <c r="K92" s="73">
        <v>4</v>
      </c>
      <c r="L92" s="192" t="s">
        <v>120</v>
      </c>
      <c r="M92" s="194" t="str">
        <f>K92&amp;": "&amp;L92</f>
        <v>4: Contribute &gt;= 1 IP/Solution at FSOFT level</v>
      </c>
    </row>
    <row r="93" spans="11:13" ht="18.600000000000001" customHeight="1">
      <c r="K93" s="73">
        <v>4</v>
      </c>
      <c r="L93" s="192" t="s">
        <v>108</v>
      </c>
      <c r="M93" s="194" t="str">
        <f>K93&amp;": "&amp;L93</f>
        <v>4: Trainer of CTC/FSOFT</v>
      </c>
    </row>
    <row r="94" spans="11:13" ht="18.600000000000001" customHeight="1">
      <c r="K94" s="73">
        <v>3</v>
      </c>
      <c r="L94" s="192" t="s">
        <v>119</v>
      </c>
      <c r="M94" s="194" t="str">
        <f>K94&amp;": "&amp;L94</f>
        <v>3: Contribute &gt;= 1 IP/Solution at BU/FSU level</v>
      </c>
    </row>
    <row r="95" spans="11:13" ht="18.600000000000001" customHeight="1">
      <c r="K95" s="73">
        <v>3</v>
      </c>
      <c r="L95" s="191" t="s">
        <v>109</v>
      </c>
      <c r="M95" s="194" t="str">
        <f t="shared" ref="M95:M100" si="19">K95&amp;": "&amp;L95</f>
        <v>3: Lecturer/Trainer of Technical workshop of FSU</v>
      </c>
    </row>
    <row r="96" spans="11:13" ht="18.600000000000001" customHeight="1">
      <c r="K96" s="73">
        <v>2</v>
      </c>
      <c r="L96" s="191" t="s">
        <v>106</v>
      </c>
      <c r="M96" s="194" t="str">
        <f t="shared" si="19"/>
        <v>2: Trainer of Technical training of BU</v>
      </c>
    </row>
    <row r="97" spans="11:13" ht="18.600000000000001" customHeight="1">
      <c r="K97" s="73">
        <v>2</v>
      </c>
      <c r="L97" s="192" t="s">
        <v>118</v>
      </c>
      <c r="M97" s="194" t="str">
        <f t="shared" si="19"/>
        <v>2: Contribute &gt;= 1 IP/Solution at project level</v>
      </c>
    </row>
    <row r="98" spans="11:13" ht="18.600000000000001" customHeight="1">
      <c r="K98" s="73">
        <v>1</v>
      </c>
      <c r="L98" s="193" t="s">
        <v>50</v>
      </c>
      <c r="M98" s="194" t="str">
        <f t="shared" si="19"/>
        <v>1: Training, support other projects</v>
      </c>
    </row>
    <row r="99" spans="11:13" ht="18.600000000000001" customHeight="1">
      <c r="K99" s="73">
        <v>0</v>
      </c>
      <c r="L99" s="194" t="s">
        <v>49</v>
      </c>
      <c r="M99" s="194" t="str">
        <f t="shared" ref="M99" si="20">K99&amp;": "&amp;L99</f>
        <v>0: No Contribution</v>
      </c>
    </row>
    <row r="100" spans="11:13" ht="18.600000000000001" customHeight="1">
      <c r="K100" s="73">
        <v>0</v>
      </c>
      <c r="L100" s="194" t="s">
        <v>168</v>
      </c>
      <c r="M100" s="194" t="str">
        <f t="shared" si="19"/>
        <v>0: Not Required</v>
      </c>
    </row>
    <row r="102" spans="11:13" ht="18.600000000000001" customHeight="1">
      <c r="K102" s="87" t="s">
        <v>137</v>
      </c>
      <c r="L102" s="87"/>
      <c r="M102" s="223"/>
    </row>
    <row r="103" spans="11:13" ht="18.600000000000001" customHeight="1">
      <c r="K103" s="88">
        <v>8</v>
      </c>
      <c r="L103" s="71" t="s">
        <v>138</v>
      </c>
      <c r="M103" s="89" t="str">
        <f>K103&amp;"-"&amp;L103</f>
        <v>8-Doctorate Degree (Ph.D)</v>
      </c>
    </row>
    <row r="104" spans="11:13" ht="18.600000000000001" customHeight="1">
      <c r="K104" s="90">
        <v>7</v>
      </c>
      <c r="L104" s="71" t="s">
        <v>139</v>
      </c>
      <c r="M104" s="89" t="str">
        <f>K104&amp;"-"&amp;L104</f>
        <v>7-Post-Master's Certificate / Master's Degree +3 Years of Experience</v>
      </c>
    </row>
    <row r="105" spans="11:13" ht="18.600000000000001" customHeight="1">
      <c r="K105" s="88">
        <v>6</v>
      </c>
      <c r="L105" s="71" t="s">
        <v>140</v>
      </c>
      <c r="M105" s="89" t="str">
        <f>K105&amp;"-"&amp;L105</f>
        <v>6-Master's Degree or 3 Years of Experience</v>
      </c>
    </row>
    <row r="106" spans="11:13" ht="18.600000000000001" customHeight="1">
      <c r="K106" s="91">
        <v>5</v>
      </c>
      <c r="L106" s="71" t="s">
        <v>141</v>
      </c>
      <c r="M106" s="89" t="str">
        <f t="shared" ref="M106:M112" si="21">K106&amp;"-"&amp;L106</f>
        <v>5-Master's Degree</v>
      </c>
    </row>
    <row r="107" spans="11:13" ht="18.600000000000001" customHeight="1">
      <c r="K107" s="91">
        <v>4</v>
      </c>
      <c r="L107" s="71" t="s">
        <v>142</v>
      </c>
      <c r="M107" s="89" t="str">
        <f t="shared" si="21"/>
        <v>4-Graduate Degree / Bachelor Degree + 5 Years of Experience</v>
      </c>
    </row>
    <row r="108" spans="11:13" ht="18.600000000000001" customHeight="1">
      <c r="K108" s="91">
        <v>3</v>
      </c>
      <c r="L108" s="71" t="s">
        <v>143</v>
      </c>
      <c r="M108" s="89" t="str">
        <f t="shared" si="21"/>
        <v>3-Bachelor Degree / Post-Baccalaureate Certificate</v>
      </c>
    </row>
    <row r="109" spans="11:13" ht="18.600000000000001" customHeight="1">
      <c r="K109" s="91">
        <v>2</v>
      </c>
      <c r="L109" s="71" t="s">
        <v>144</v>
      </c>
      <c r="M109" s="89" t="str">
        <f t="shared" si="21"/>
        <v>2-Associate of Business / Science / Technical Study</v>
      </c>
    </row>
    <row r="110" spans="11:13" ht="18.600000000000001" customHeight="1">
      <c r="K110" s="91">
        <v>1</v>
      </c>
      <c r="L110" s="71" t="s">
        <v>145</v>
      </c>
      <c r="M110" s="89" t="str">
        <f t="shared" si="21"/>
        <v>1-Post-Baccalaureate Certificate</v>
      </c>
    </row>
    <row r="111" spans="11:13" ht="18.600000000000001" customHeight="1">
      <c r="K111" s="91">
        <v>0</v>
      </c>
      <c r="L111" s="71" t="s">
        <v>146</v>
      </c>
      <c r="M111" s="89" t="str">
        <f t="shared" ref="M111" si="22">K111&amp;"-"&amp;L111</f>
        <v>0-No Degree / Certification</v>
      </c>
    </row>
    <row r="112" spans="11:13" ht="18.600000000000001" customHeight="1">
      <c r="K112" s="91">
        <v>0</v>
      </c>
      <c r="L112" s="71" t="s">
        <v>168</v>
      </c>
      <c r="M112" s="89" t="str">
        <f t="shared" si="21"/>
        <v>0-Not Required</v>
      </c>
    </row>
    <row r="114" spans="11:14" ht="18.600000000000001" customHeight="1">
      <c r="K114" s="92" t="s">
        <v>354</v>
      </c>
      <c r="L114" s="77"/>
      <c r="M114" s="221" t="s">
        <v>16</v>
      </c>
    </row>
    <row r="115" spans="11:14" ht="18.600000000000001" customHeight="1">
      <c r="K115" s="73">
        <v>7</v>
      </c>
      <c r="L115" s="93" t="s">
        <v>350</v>
      </c>
      <c r="M115" s="194" t="str">
        <f>K115&amp;": "&amp;L115</f>
        <v>7: &gt;=31 Projects / Phases</v>
      </c>
    </row>
    <row r="116" spans="11:14" ht="18.600000000000001" customHeight="1">
      <c r="K116" s="73">
        <v>6</v>
      </c>
      <c r="L116" s="93" t="s">
        <v>351</v>
      </c>
      <c r="M116" s="194" t="str">
        <f t="shared" ref="M116:M123" si="23">K116&amp;": "&amp;L116</f>
        <v>6: ~21-30 Projects / Phases</v>
      </c>
    </row>
    <row r="117" spans="11:14" ht="18.600000000000001" customHeight="1">
      <c r="K117" s="73">
        <v>5</v>
      </c>
      <c r="L117" s="93" t="s">
        <v>352</v>
      </c>
      <c r="M117" s="194" t="str">
        <f t="shared" si="23"/>
        <v>5: ~16-20 Projects / Phases</v>
      </c>
    </row>
    <row r="118" spans="11:14" ht="18.600000000000001" customHeight="1">
      <c r="K118" s="73">
        <v>4</v>
      </c>
      <c r="L118" s="93" t="s">
        <v>666</v>
      </c>
      <c r="M118" s="194" t="str">
        <f t="shared" si="23"/>
        <v>4: ~11-15 Projects / Phases</v>
      </c>
    </row>
    <row r="119" spans="11:14" ht="18.600000000000001" customHeight="1">
      <c r="K119" s="73">
        <v>3</v>
      </c>
      <c r="L119" s="93" t="s">
        <v>667</v>
      </c>
      <c r="M119" s="194" t="str">
        <f t="shared" si="23"/>
        <v>3: ~06-10 Projects / Phases</v>
      </c>
    </row>
    <row r="120" spans="11:14" ht="18.600000000000001" customHeight="1">
      <c r="K120" s="73">
        <v>2</v>
      </c>
      <c r="L120" s="93" t="s">
        <v>668</v>
      </c>
      <c r="M120" s="194" t="str">
        <f t="shared" si="23"/>
        <v>2: ~04-05 Projects / Phases</v>
      </c>
      <c r="N120" s="409"/>
    </row>
    <row r="121" spans="11:14" ht="18.600000000000001" customHeight="1">
      <c r="K121" s="73">
        <v>1</v>
      </c>
      <c r="L121" s="93" t="s">
        <v>669</v>
      </c>
      <c r="M121" s="194" t="str">
        <f t="shared" si="23"/>
        <v>1: ~01-03 Projects / Phases</v>
      </c>
      <c r="N121" s="409"/>
    </row>
    <row r="122" spans="11:14" ht="18.600000000000001" customHeight="1">
      <c r="K122" s="73">
        <v>0</v>
      </c>
      <c r="L122" s="93" t="s">
        <v>353</v>
      </c>
      <c r="M122" s="194" t="str">
        <f t="shared" ref="M122" si="24">K122&amp;": "&amp;L122</f>
        <v>0: No Project / Phase</v>
      </c>
      <c r="N122" s="409" t="s">
        <v>643</v>
      </c>
    </row>
    <row r="123" spans="11:14" ht="18.600000000000001" customHeight="1">
      <c r="K123" s="73">
        <v>0</v>
      </c>
      <c r="L123" s="93" t="s">
        <v>168</v>
      </c>
      <c r="M123" s="194" t="str">
        <f t="shared" si="23"/>
        <v>0: Not Required</v>
      </c>
    </row>
  </sheetData>
  <sheetProtection sheet="1" objects="1" scenarios="1" formatCells="0" formatColumns="0" formatRows="0" insertColumns="0" insertRows="0" insertHyperlinks="0" deleteColumns="0" deleteRows="0" sort="0" autoFilter="0" pivotTables="0"/>
  <mergeCells count="4">
    <mergeCell ref="K1:L1"/>
    <mergeCell ref="K36:L36"/>
    <mergeCell ref="B14:B20"/>
    <mergeCell ref="C9:H9"/>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2"/>
  <sheetViews>
    <sheetView zoomScale="77" zoomScaleNormal="77" workbookViewId="0">
      <selection activeCell="I10" sqref="I10"/>
    </sheetView>
  </sheetViews>
  <sheetFormatPr defaultRowHeight="14.4"/>
  <cols>
    <col min="1" max="1" width="3.5546875" customWidth="1"/>
    <col min="2" max="2" width="6.21875" style="52" customWidth="1"/>
    <col min="3" max="3" width="8.77734375" style="52"/>
    <col min="4" max="4" width="29.77734375" style="53" customWidth="1"/>
    <col min="5" max="5" width="61" style="258" customWidth="1"/>
    <col min="6" max="6" width="50.21875" style="258" customWidth="1"/>
    <col min="7" max="7" width="15.6640625" style="364" customWidth="1"/>
    <col min="8" max="8" width="10.88671875" style="364" customWidth="1"/>
  </cols>
  <sheetData>
    <row r="1" spans="2:8" ht="31.95" customHeight="1">
      <c r="B1" s="370" t="s">
        <v>598</v>
      </c>
      <c r="C1" s="370"/>
    </row>
    <row r="2" spans="2:8" s="355" customFormat="1" ht="28.5" customHeight="1">
      <c r="B2" s="358" t="s">
        <v>588</v>
      </c>
      <c r="C2" s="358" t="s">
        <v>599</v>
      </c>
      <c r="D2" s="359" t="s">
        <v>583</v>
      </c>
      <c r="E2" s="359" t="s">
        <v>584</v>
      </c>
      <c r="F2" s="359" t="s">
        <v>585</v>
      </c>
      <c r="G2" s="365" t="s">
        <v>587</v>
      </c>
      <c r="H2" s="365" t="s">
        <v>586</v>
      </c>
    </row>
    <row r="3" spans="2:8" ht="39.450000000000003" customHeight="1">
      <c r="B3" s="356">
        <v>1</v>
      </c>
      <c r="C3" s="356" t="s">
        <v>600</v>
      </c>
      <c r="D3" s="360" t="s">
        <v>544</v>
      </c>
      <c r="E3" s="368" t="s">
        <v>589</v>
      </c>
      <c r="F3" s="362" t="s">
        <v>545</v>
      </c>
      <c r="G3" s="366" t="s">
        <v>546</v>
      </c>
      <c r="H3" s="366" t="s">
        <v>547</v>
      </c>
    </row>
    <row r="4" spans="2:8" ht="39.450000000000003" customHeight="1">
      <c r="B4" s="356">
        <v>2</v>
      </c>
      <c r="C4" s="356" t="s">
        <v>600</v>
      </c>
      <c r="D4" s="360" t="s">
        <v>548</v>
      </c>
      <c r="E4" s="368" t="s">
        <v>590</v>
      </c>
      <c r="F4" s="362" t="s">
        <v>549</v>
      </c>
      <c r="G4" s="366" t="s">
        <v>550</v>
      </c>
      <c r="H4" s="366" t="s">
        <v>551</v>
      </c>
    </row>
    <row r="5" spans="2:8" ht="39.450000000000003" customHeight="1">
      <c r="B5" s="356">
        <v>3</v>
      </c>
      <c r="C5" s="356" t="s">
        <v>600</v>
      </c>
      <c r="D5" s="360" t="s">
        <v>552</v>
      </c>
      <c r="E5" s="368" t="s">
        <v>591</v>
      </c>
      <c r="F5" s="362" t="s">
        <v>553</v>
      </c>
      <c r="G5" s="366" t="s">
        <v>554</v>
      </c>
      <c r="H5" s="366" t="s">
        <v>555</v>
      </c>
    </row>
    <row r="6" spans="2:8" ht="39.450000000000003" customHeight="1">
      <c r="B6" s="356">
        <v>4</v>
      </c>
      <c r="C6" s="356" t="s">
        <v>600</v>
      </c>
      <c r="D6" s="360" t="s">
        <v>556</v>
      </c>
      <c r="E6" s="368" t="s">
        <v>592</v>
      </c>
      <c r="F6" s="362" t="s">
        <v>557</v>
      </c>
      <c r="G6" s="366" t="s">
        <v>550</v>
      </c>
      <c r="H6" s="366" t="s">
        <v>558</v>
      </c>
    </row>
    <row r="7" spans="2:8" ht="39.450000000000003" customHeight="1">
      <c r="B7" s="356">
        <v>5</v>
      </c>
      <c r="C7" s="356" t="s">
        <v>600</v>
      </c>
      <c r="D7" s="360" t="s">
        <v>559</v>
      </c>
      <c r="E7" s="368" t="s">
        <v>593</v>
      </c>
      <c r="F7" s="362" t="s">
        <v>560</v>
      </c>
      <c r="G7" s="366" t="s">
        <v>561</v>
      </c>
      <c r="H7" s="366" t="s">
        <v>562</v>
      </c>
    </row>
    <row r="8" spans="2:8" ht="39.450000000000003" customHeight="1">
      <c r="B8" s="356">
        <v>6</v>
      </c>
      <c r="C8" s="356" t="s">
        <v>600</v>
      </c>
      <c r="D8" s="360" t="s">
        <v>563</v>
      </c>
      <c r="E8" s="368" t="s">
        <v>594</v>
      </c>
      <c r="F8" s="362" t="s">
        <v>564</v>
      </c>
      <c r="G8" s="366" t="s">
        <v>565</v>
      </c>
      <c r="H8" s="366" t="s">
        <v>566</v>
      </c>
    </row>
    <row r="9" spans="2:8" ht="39.450000000000003" customHeight="1">
      <c r="B9" s="356">
        <v>7</v>
      </c>
      <c r="C9" s="356" t="s">
        <v>600</v>
      </c>
      <c r="D9" s="360" t="s">
        <v>579</v>
      </c>
      <c r="E9" s="368" t="s">
        <v>594</v>
      </c>
      <c r="F9" s="362" t="s">
        <v>580</v>
      </c>
      <c r="G9" s="366" t="s">
        <v>581</v>
      </c>
      <c r="H9" s="366" t="s">
        <v>582</v>
      </c>
    </row>
    <row r="10" spans="2:8" ht="39.450000000000003" customHeight="1">
      <c r="B10" s="356">
        <v>8</v>
      </c>
      <c r="C10" s="356" t="s">
        <v>600</v>
      </c>
      <c r="D10" s="360" t="s">
        <v>567</v>
      </c>
      <c r="E10" s="368" t="s">
        <v>595</v>
      </c>
      <c r="F10" s="362" t="s">
        <v>568</v>
      </c>
      <c r="G10" s="366" t="s">
        <v>569</v>
      </c>
      <c r="H10" s="366" t="s">
        <v>570</v>
      </c>
    </row>
    <row r="11" spans="2:8" ht="39.450000000000003" customHeight="1">
      <c r="B11" s="356">
        <v>9</v>
      </c>
      <c r="C11" s="356" t="s">
        <v>600</v>
      </c>
      <c r="D11" s="360" t="s">
        <v>571</v>
      </c>
      <c r="E11" s="368" t="s">
        <v>596</v>
      </c>
      <c r="F11" s="362" t="s">
        <v>572</v>
      </c>
      <c r="G11" s="366" t="s">
        <v>573</v>
      </c>
      <c r="H11" s="366" t="s">
        <v>574</v>
      </c>
    </row>
    <row r="12" spans="2:8" ht="39.450000000000003" customHeight="1">
      <c r="B12" s="357">
        <v>10</v>
      </c>
      <c r="C12" s="356" t="s">
        <v>600</v>
      </c>
      <c r="D12" s="361" t="s">
        <v>575</v>
      </c>
      <c r="E12" s="369" t="s">
        <v>597</v>
      </c>
      <c r="F12" s="363" t="s">
        <v>576</v>
      </c>
      <c r="G12" s="367" t="s">
        <v>577</v>
      </c>
      <c r="H12" s="367" t="s">
        <v>578</v>
      </c>
    </row>
  </sheetData>
  <hyperlinks>
    <hyperlink ref="E4" r:id="rId1"/>
    <hyperlink ref="E5" r:id="rId2"/>
    <hyperlink ref="E3" r:id="rId3"/>
    <hyperlink ref="E6" r:id="rId4"/>
    <hyperlink ref="E7" r:id="rId5"/>
    <hyperlink ref="E8" r:id="rId6"/>
    <hyperlink ref="E9" r:id="rId7"/>
    <hyperlink ref="E10" r:id="rId8"/>
    <hyperlink ref="E11" r:id="rId9"/>
    <hyperlink ref="E12" r:id="rId10"/>
  </hyperlinks>
  <pageMargins left="0.7" right="0.7" top="0.75" bottom="0.75" header="0.3" footer="0.3"/>
  <pageSetup orientation="portrait" r:id="rId1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X214"/>
  <sheetViews>
    <sheetView zoomScale="68" zoomScaleNormal="68" zoomScaleSheetLayoutView="70" workbookViewId="0">
      <pane xSplit="4" ySplit="4" topLeftCell="E5" activePane="bottomRight" state="frozen"/>
      <selection pane="topRight" activeCell="G1" sqref="G1"/>
      <selection pane="bottomLeft" activeCell="A4" sqref="A4"/>
      <selection pane="bottomRight" activeCell="A3" sqref="A3"/>
    </sheetView>
  </sheetViews>
  <sheetFormatPr defaultColWidth="9.21875" defaultRowHeight="12"/>
  <cols>
    <col min="1" max="1" width="4.88671875" style="3" customWidth="1"/>
    <col min="2" max="2" width="35.21875" style="39" customWidth="1"/>
    <col min="3" max="3" width="88.21875" style="39" customWidth="1"/>
    <col min="4" max="4" width="10.88671875" style="12" customWidth="1"/>
    <col min="5" max="5" width="34.5546875" style="3" customWidth="1"/>
    <col min="6" max="6" width="24" style="13" customWidth="1"/>
    <col min="7" max="7" width="8.109375" style="4" customWidth="1"/>
    <col min="8" max="8" width="27.5546875" style="43" customWidth="1"/>
    <col min="9" max="9" width="9.77734375" style="12" customWidth="1"/>
    <col min="10" max="10" width="10.77734375" style="12" hidden="1" customWidth="1"/>
    <col min="11" max="11" width="23.5546875" style="27" hidden="1" customWidth="1"/>
    <col min="12" max="12" width="10.5546875" style="16" hidden="1" customWidth="1"/>
    <col min="13" max="14" width="9.21875" style="16"/>
    <col min="15" max="15" width="29.21875" style="16" customWidth="1"/>
    <col min="16" max="24" width="9.21875" style="16"/>
    <col min="25" max="16384" width="9.21875" style="3"/>
  </cols>
  <sheetData>
    <row r="1" spans="1:24" ht="25.05" customHeight="1">
      <c r="B1" s="519" t="s">
        <v>520</v>
      </c>
      <c r="C1" s="519"/>
      <c r="D1" s="520"/>
      <c r="E1" s="523" t="s">
        <v>533</v>
      </c>
      <c r="F1" s="524"/>
      <c r="G1" s="525"/>
      <c r="H1" s="467" t="s">
        <v>530</v>
      </c>
      <c r="I1" s="467"/>
      <c r="J1" s="468" t="s">
        <v>538</v>
      </c>
      <c r="K1" s="468"/>
      <c r="L1" s="468"/>
    </row>
    <row r="2" spans="1:24" s="16" customFormat="1" ht="20.55" customHeight="1">
      <c r="B2" s="521"/>
      <c r="C2" s="521"/>
      <c r="D2" s="522"/>
      <c r="E2" s="526"/>
      <c r="F2" s="527"/>
      <c r="G2" s="528"/>
      <c r="H2" s="467"/>
      <c r="I2" s="467"/>
      <c r="J2" s="468"/>
      <c r="K2" s="468"/>
      <c r="L2" s="468"/>
    </row>
    <row r="3" spans="1:24" s="5" customFormat="1" ht="32.549999999999997" customHeight="1">
      <c r="B3" s="189" t="s">
        <v>187</v>
      </c>
      <c r="C3" s="354"/>
      <c r="D3" s="353" t="s">
        <v>540</v>
      </c>
      <c r="E3" s="529" t="str">
        <f>IF('06. Assessment Summary'!U30&gt;0,"Not Satisfied RANK","Satisfied RANK")&amp;": "&amp;IF(G3&gt;='04. Job Descriptions'!R4,'04. Job Descriptions'!R2&amp;"-"&amp;'04. Job Descriptions'!R3,IF(G3&gt;='04. Job Descriptions'!Q4,'04. Job Descriptions'!Q2&amp;"-"&amp;'04. Job Descriptions'!Q3,IF(G3&gt;='04. Job Descriptions'!P4,'04. Job Descriptions'!P2&amp;"-"&amp;'04. Job Descriptions'!P3,IF(G3&gt;='04. Job Descriptions'!O4,'04. Job Descriptions'!O2&amp;"-"&amp;'04. Job Descriptions'!O3,IF(G3&gt;='04. Job Descriptions'!N4,'04. Job Descriptions'!N2&amp;"-"&amp;'04. Job Descriptions'!N3,IF(G3&gt;='04. Job Descriptions'!M4,'04. Job Descriptions'!M2&amp;"-"&amp;'04. Job Descriptions'!M3,"Not Ranked"))))))</f>
        <v>Not Satisfied RANK: Not Ranked</v>
      </c>
      <c r="F3" s="530"/>
      <c r="G3" s="176">
        <f>ROUND(G5+G9+G19+G24,0)</f>
        <v>0</v>
      </c>
      <c r="H3" s="346" t="s">
        <v>279</v>
      </c>
      <c r="I3" s="352">
        <f>ROUND(I5+I9+I19+I24,0)</f>
        <v>0</v>
      </c>
      <c r="J3" s="468"/>
      <c r="K3" s="468"/>
      <c r="L3" s="468"/>
      <c r="M3" s="17"/>
      <c r="N3" s="17"/>
      <c r="O3" s="17"/>
      <c r="P3" s="17"/>
      <c r="Q3" s="17"/>
      <c r="R3" s="17"/>
      <c r="S3" s="17"/>
      <c r="T3" s="17"/>
      <c r="U3" s="17"/>
      <c r="V3" s="17"/>
      <c r="W3" s="17"/>
      <c r="X3" s="17"/>
    </row>
    <row r="4" spans="1:24" ht="40.5" customHeight="1">
      <c r="B4" s="134" t="s">
        <v>528</v>
      </c>
      <c r="C4" s="135" t="s">
        <v>521</v>
      </c>
      <c r="D4" s="353" t="e">
        <f xml:space="preserve"> SUM(D5,D9,D19,D24)</f>
        <v>#REF!</v>
      </c>
      <c r="E4" s="185" t="s">
        <v>531</v>
      </c>
      <c r="F4" s="174" t="s">
        <v>532</v>
      </c>
      <c r="G4" s="175" t="s">
        <v>55</v>
      </c>
      <c r="H4" s="184" t="s">
        <v>529</v>
      </c>
      <c r="I4" s="62" t="s">
        <v>175</v>
      </c>
      <c r="J4" s="177" t="s">
        <v>35</v>
      </c>
      <c r="K4" s="178" t="s">
        <v>539</v>
      </c>
      <c r="L4" s="177" t="s">
        <v>42</v>
      </c>
    </row>
    <row r="5" spans="1:24" ht="27" customHeight="1">
      <c r="B5" s="137" t="str">
        <f>'04. Job Descriptions'!B8</f>
        <v>Experiences &amp; Contributions</v>
      </c>
      <c r="C5" s="137" t="s">
        <v>534</v>
      </c>
      <c r="D5" s="138" t="e">
        <f>'04. Job Descriptions'!#REF!</f>
        <v>#REF!</v>
      </c>
      <c r="E5" s="155"/>
      <c r="F5" s="155"/>
      <c r="G5" s="141">
        <f>SUM(G6:G8)</f>
        <v>0</v>
      </c>
      <c r="H5" s="143"/>
      <c r="I5" s="142">
        <f>SUM(I6:I8)</f>
        <v>0</v>
      </c>
      <c r="J5" s="143"/>
      <c r="K5" s="144"/>
      <c r="L5" s="144"/>
    </row>
    <row r="6" spans="1:24" s="10" customFormat="1" ht="21.6" customHeight="1">
      <c r="B6" s="145" t="str">
        <f>'04. Job Descriptions'!B9</f>
        <v>Business Analysis Experiences (*)</v>
      </c>
      <c r="C6" s="156" t="str">
        <f>'04. Job Descriptions'!D9</f>
        <v>Number of years working as Business Analyst, Software Business Analyst, Software Development Life Cycle, Team Work, Agile Mindset</v>
      </c>
      <c r="D6" s="146" t="e">
        <f>'04. Job Descriptions'!#REF!</f>
        <v>#REF!</v>
      </c>
      <c r="E6" s="157" t="s">
        <v>67</v>
      </c>
      <c r="F6" s="148"/>
      <c r="G6" s="149">
        <f>IFERROR((LEFT(E6,1)*D6/'04. Job Descriptions'!K9)*100,0)</f>
        <v>0</v>
      </c>
      <c r="H6" s="145" t="str">
        <f>IFERROR(HLOOKUP($H$3,'04. Job Descriptions'!$B$4:$J$35,7,0),"NA")</f>
        <v>NA</v>
      </c>
      <c r="I6" s="149" t="str">
        <f>IFERROR(HLOOKUP($H$3,'04. Job Descriptions'!$M$3:$R$35,8,0),"NA")</f>
        <v>NA</v>
      </c>
      <c r="J6" s="150" t="str">
        <f t="shared" ref="J6:J8" si="0">IF(G6&lt;I6,"Yes","No")</f>
        <v>Yes</v>
      </c>
      <c r="K6" s="154"/>
      <c r="L6" s="152"/>
      <c r="M6" s="20"/>
      <c r="N6" s="20"/>
      <c r="O6" s="20"/>
      <c r="P6" s="20"/>
      <c r="Q6" s="20"/>
      <c r="R6" s="20"/>
      <c r="S6" s="20"/>
      <c r="T6" s="20"/>
      <c r="U6" s="20"/>
      <c r="V6" s="20"/>
      <c r="W6" s="20"/>
      <c r="X6" s="20"/>
    </row>
    <row r="7" spans="1:24" s="10" customFormat="1" ht="23.55" customHeight="1">
      <c r="B7" s="145" t="str">
        <f>'04. Job Descriptions'!B11</f>
        <v>Number of Projects/Phases</v>
      </c>
      <c r="C7" s="156" t="str">
        <f>'04. Job Descriptions'!D11</f>
        <v>The successful projects in business requirements that you have done at least one of the following tasks: analyze, design, develop, support, migrate, deploy, manage software projects or phases (FSOFTER can provide joined project is project rank of Project Rank A, Project Rank B, Project Rank C in Evidence section)</v>
      </c>
      <c r="D7" s="146" t="e">
        <f>'04. Job Descriptions'!#REF!</f>
        <v>#REF!</v>
      </c>
      <c r="E7" s="153" t="s">
        <v>358</v>
      </c>
      <c r="F7" s="148"/>
      <c r="G7" s="149">
        <f>IFERROR((LEFT(E7,1)*D7/'04. Job Descriptions'!K11)*100,0)</f>
        <v>0</v>
      </c>
      <c r="H7" s="145" t="str">
        <f>IFERROR(HLOOKUP($H$3,'04. Job Descriptions'!$B$4:$J$35,9,0),"NA")</f>
        <v>NA</v>
      </c>
      <c r="I7" s="149" t="str">
        <f>IFERROR(HLOOKUP($H$3,'04. Job Descriptions'!$M$3:$R$35,10,0),"NA")</f>
        <v>NA</v>
      </c>
      <c r="J7" s="150" t="str">
        <f t="shared" si="0"/>
        <v>Yes</v>
      </c>
      <c r="K7" s="158"/>
      <c r="L7" s="152"/>
      <c r="M7" s="20"/>
      <c r="N7" s="20"/>
      <c r="O7" s="20"/>
      <c r="P7" s="20"/>
      <c r="Q7" s="20"/>
      <c r="R7" s="20"/>
      <c r="S7" s="20"/>
      <c r="T7" s="20"/>
      <c r="U7" s="20"/>
      <c r="V7" s="20"/>
      <c r="W7" s="20"/>
      <c r="X7" s="20"/>
    </row>
    <row r="8" spans="1:24" s="10" customFormat="1" ht="28.5" customHeight="1">
      <c r="B8" s="145" t="str">
        <f>'04. Job Descriptions'!B13</f>
        <v>Industry Experiences (IT and Non-IT fields)</v>
      </c>
      <c r="C8" s="156" t="str">
        <f>'04. Job Descriptions'!D13</f>
        <v>Banking, Finance, Insurance, Aviation, Automotive, Oil and Gas, Health Care, ERP, Data Warehouse, Logistic, Real estate, Telecom, …</v>
      </c>
      <c r="D8" s="146" t="e">
        <f>'04. Job Descriptions'!#REF!</f>
        <v>#REF!</v>
      </c>
      <c r="E8" s="153" t="s">
        <v>68</v>
      </c>
      <c r="F8" s="148"/>
      <c r="G8" s="149">
        <f>IFERROR((LEFT(E8,1)*D8/'04. Job Descriptions'!K13)*100,0)</f>
        <v>0</v>
      </c>
      <c r="H8" s="145" t="str">
        <f>IFERROR(HLOOKUP($H$3,'04. Job Descriptions'!$B$4:$J$35,11,0),"NA")</f>
        <v>NA</v>
      </c>
      <c r="I8" s="149" t="str">
        <f>IFERROR(HLOOKUP($H$3,'04. Job Descriptions'!$M$3:$R$35,12,0),"NA")</f>
        <v>NA</v>
      </c>
      <c r="J8" s="150" t="str">
        <f t="shared" si="0"/>
        <v>Yes</v>
      </c>
      <c r="K8" s="154"/>
      <c r="L8" s="152"/>
      <c r="M8" s="20"/>
      <c r="N8" s="20"/>
      <c r="O8" s="20"/>
      <c r="P8" s="20"/>
      <c r="Q8" s="20"/>
      <c r="R8" s="20"/>
      <c r="S8" s="20"/>
      <c r="T8" s="20"/>
      <c r="U8" s="20"/>
      <c r="V8" s="20"/>
      <c r="W8" s="20"/>
      <c r="X8" s="20"/>
    </row>
    <row r="9" spans="1:24" ht="28.05" customHeight="1">
      <c r="B9" s="137" t="str">
        <f>'04. Job Descriptions'!B15</f>
        <v>Professional Business Analysis Skills</v>
      </c>
      <c r="C9" s="137" t="s">
        <v>535</v>
      </c>
      <c r="D9" s="138" t="e">
        <f>'04. Job Descriptions'!#REF!</f>
        <v>#REF!</v>
      </c>
      <c r="E9" s="155"/>
      <c r="F9" s="155"/>
      <c r="G9" s="141">
        <f>SUM(G10:G18)</f>
        <v>0</v>
      </c>
      <c r="H9" s="167"/>
      <c r="I9" s="142">
        <f>SUM(I10:I18)</f>
        <v>0</v>
      </c>
      <c r="J9" s="143"/>
      <c r="K9" s="144"/>
      <c r="L9" s="144"/>
    </row>
    <row r="10" spans="1:24" s="10" customFormat="1" ht="71.55" customHeight="1">
      <c r="B10" s="145" t="str">
        <f>'04. Job Descriptions'!B16</f>
        <v>Business Analysis Planning &amp; Monitoring (*)</v>
      </c>
      <c r="C10" s="97" t="str">
        <f>'04. Job Descriptions'!D16</f>
        <v>- Plan Business Analysis Approach
- Plan Stakeholders Engagement
- Plan Business Analysis Governance
- Plan Business Analysis Information Management
- Identify Business Analysis Performance Improvement</v>
      </c>
      <c r="D10" s="146" t="e">
        <f>'04. Job Descriptions'!#REF!</f>
        <v>#REF!</v>
      </c>
      <c r="E10" s="153" t="s">
        <v>52</v>
      </c>
      <c r="F10" s="148"/>
      <c r="G10" s="149">
        <f>IFERROR((LEFT(E10,1)*D10/'04. Job Descriptions'!K16)*100,0)</f>
        <v>0</v>
      </c>
      <c r="H10" s="145" t="str">
        <f>IFERROR(HLOOKUP($H$3,'04. Job Descriptions'!$B$4:$J$35,14,0),"NA")</f>
        <v>NA</v>
      </c>
      <c r="I10" s="149" t="str">
        <f>IFERROR(HLOOKUP($H$3,'04. Job Descriptions'!$M$3:$R$35,15,0),"NA")</f>
        <v>NA</v>
      </c>
      <c r="J10" s="150" t="str">
        <f t="shared" ref="J10:J18" si="1">IF(G10&lt;I10,"Yes","No")</f>
        <v>Yes</v>
      </c>
      <c r="K10" s="154"/>
      <c r="L10" s="152"/>
      <c r="M10" s="20"/>
      <c r="N10" s="20"/>
      <c r="O10" s="20"/>
      <c r="P10" s="20"/>
      <c r="Q10" s="20"/>
      <c r="R10" s="20"/>
      <c r="S10" s="20"/>
      <c r="T10" s="20"/>
      <c r="U10" s="20"/>
      <c r="V10" s="20"/>
      <c r="W10" s="20"/>
      <c r="X10" s="20"/>
    </row>
    <row r="11" spans="1:24" s="10" customFormat="1" ht="69.45" customHeight="1">
      <c r="B11" s="145" t="str">
        <f>'04. Job Descriptions'!B17</f>
        <v>Requirement Elicitation &amp; Collaboration (*)</v>
      </c>
      <c r="C11" s="97" t="str">
        <f>'04. Job Descriptions'!D17</f>
        <v>- Elicitation Preparation
- Requirement Workshop / Conduct Elicitation
- Requirement Transfer &amp; Confirmation
- Requirement Management &amp; Communication
- Stakeholders Management</v>
      </c>
      <c r="D11" s="146" t="e">
        <f>'04. Job Descriptions'!#REF!</f>
        <v>#REF!</v>
      </c>
      <c r="E11" s="153" t="s">
        <v>52</v>
      </c>
      <c r="F11" s="148"/>
      <c r="G11" s="149">
        <f>IFERROR((LEFT(E11,1)*D11/'04. Job Descriptions'!K17)*100,0)</f>
        <v>0</v>
      </c>
      <c r="H11" s="145" t="str">
        <f>IFERROR(HLOOKUP($H$3,'04. Job Descriptions'!$B$4:$J$35,15,0),"NA")</f>
        <v>NA</v>
      </c>
      <c r="I11" s="149" t="str">
        <f>IFERROR(HLOOKUP($H$3,'04. Job Descriptions'!$M$3:$R$35,16,0),"NA")</f>
        <v>NA</v>
      </c>
      <c r="J11" s="150" t="str">
        <f t="shared" si="1"/>
        <v>Yes</v>
      </c>
      <c r="K11" s="154"/>
      <c r="L11" s="152"/>
      <c r="M11" s="20"/>
      <c r="N11" s="20"/>
      <c r="O11" s="20"/>
      <c r="P11" s="20"/>
      <c r="Q11" s="20"/>
      <c r="R11" s="20"/>
      <c r="S11" s="20"/>
      <c r="T11" s="20"/>
      <c r="U11" s="20"/>
      <c r="V11" s="20"/>
      <c r="W11" s="20"/>
      <c r="X11" s="20"/>
    </row>
    <row r="12" spans="1:24" s="10" customFormat="1" ht="62.55" customHeight="1">
      <c r="B12" s="145" t="str">
        <f>'04. Job Descriptions'!B18</f>
        <v>Business Requirement Analysis (*)</v>
      </c>
      <c r="C12" s="97" t="str">
        <f>'04. Job Descriptions'!D18</f>
        <v>- Requirement Specification
- Requirement Verification
- Requirement Validation
- Requirement UI/UX Behavior Design &amp; Principles
- Requirement CX (Customer Experience / Customer Journey)
- Solution Definition &amp; Assessment</v>
      </c>
      <c r="D12" s="146" t="e">
        <f>'04. Job Descriptions'!#REF!</f>
        <v>#REF!</v>
      </c>
      <c r="E12" s="153" t="s">
        <v>52</v>
      </c>
      <c r="F12" s="148"/>
      <c r="G12" s="149">
        <f>IFERROR((LEFT(E12,1)*D12/'04. Job Descriptions'!K18)*100,0)</f>
        <v>0</v>
      </c>
      <c r="H12" s="145" t="str">
        <f>IFERROR(HLOOKUP($H$3,'04. Job Descriptions'!$B$4:$J$35,16,0),"NA")</f>
        <v>NA</v>
      </c>
      <c r="I12" s="149" t="str">
        <f>IFERROR(HLOOKUP($H$3,'04. Job Descriptions'!$M$3:$R$35,17,0),"NA")</f>
        <v>NA</v>
      </c>
      <c r="J12" s="150" t="str">
        <f t="shared" si="1"/>
        <v>Yes</v>
      </c>
      <c r="K12" s="154"/>
      <c r="L12" s="152"/>
      <c r="M12" s="20"/>
      <c r="N12" s="20"/>
      <c r="O12" s="20"/>
      <c r="P12" s="20"/>
      <c r="Q12" s="20"/>
      <c r="R12" s="20"/>
      <c r="S12" s="20"/>
      <c r="T12" s="20"/>
      <c r="U12" s="20"/>
      <c r="V12" s="20"/>
      <c r="W12" s="20"/>
      <c r="X12" s="20"/>
    </row>
    <row r="13" spans="1:24" ht="76.05" customHeight="1">
      <c r="A13" s="10"/>
      <c r="B13" s="145" t="str">
        <f>'04. Job Descriptions'!B19</f>
        <v>Business Solution Evaluation</v>
      </c>
      <c r="C13" s="97" t="str">
        <f>'04. Job Descriptions'!D19</f>
        <v>- Measure Solution Performance
- Analyze Performance Measured
- Assess Solution Limitations
- Assess Enterprise Limitations
- Recommend Actions to Increase Solution's Value</v>
      </c>
      <c r="D13" s="146" t="e">
        <f>'04. Job Descriptions'!#REF!</f>
        <v>#REF!</v>
      </c>
      <c r="E13" s="153" t="s">
        <v>52</v>
      </c>
      <c r="F13" s="148"/>
      <c r="G13" s="149">
        <f>IFERROR((LEFT(E13,1)*D13/'04. Job Descriptions'!K19)*100,0)</f>
        <v>0</v>
      </c>
      <c r="H13" s="145" t="str">
        <f>IFERROR(HLOOKUP($H$3,'04. Job Descriptions'!$B$4:$J$35,17,0),"NA")</f>
        <v>NA</v>
      </c>
      <c r="I13" s="149" t="str">
        <f>IFERROR(HLOOKUP($H$3,'04. Job Descriptions'!$M$3:$R$35,18,0),"NA")</f>
        <v>NA</v>
      </c>
      <c r="J13" s="150" t="str">
        <f t="shared" si="1"/>
        <v>Yes</v>
      </c>
      <c r="K13" s="160"/>
      <c r="L13" s="152"/>
    </row>
    <row r="14" spans="1:24" s="10" customFormat="1" ht="73.95" customHeight="1">
      <c r="B14" s="145" t="str">
        <f>'04. Job Descriptions'!B20</f>
        <v>Business Requirement Life-Cycle</v>
      </c>
      <c r="C14" s="97" t="str">
        <f>'04. Job Descriptions'!D20</f>
        <v>- Requirement Tracing
- Requirement Maintenance
- Requirement Prioritization
- Requirement Change Management
- Requirement Approval</v>
      </c>
      <c r="D14" s="146" t="e">
        <f>'04. Job Descriptions'!#REF!</f>
        <v>#REF!</v>
      </c>
      <c r="E14" s="153" t="s">
        <v>51</v>
      </c>
      <c r="F14" s="148"/>
      <c r="G14" s="149">
        <f>IFERROR((LEFT(E14,1)*D14/'04. Job Descriptions'!K20)*100,0)</f>
        <v>0</v>
      </c>
      <c r="H14" s="145" t="str">
        <f>IFERROR(HLOOKUP($H$3,'04. Job Descriptions'!$B$4:$J$35,18,0),"NA")</f>
        <v>NA</v>
      </c>
      <c r="I14" s="149" t="str">
        <f>IFERROR(HLOOKUP($H$3,'04. Job Descriptions'!$M$3:$R$35,19,0),"NA")</f>
        <v>NA</v>
      </c>
      <c r="J14" s="150" t="str">
        <f t="shared" si="1"/>
        <v>Yes</v>
      </c>
      <c r="K14" s="154"/>
      <c r="L14" s="152"/>
      <c r="M14" s="20"/>
      <c r="N14" s="20"/>
      <c r="O14" s="20"/>
      <c r="P14" s="20"/>
      <c r="Q14" s="20"/>
      <c r="R14" s="20"/>
      <c r="S14" s="20"/>
      <c r="T14" s="20"/>
      <c r="U14" s="20"/>
      <c r="V14" s="20"/>
      <c r="W14" s="20"/>
      <c r="X14" s="20"/>
    </row>
    <row r="15" spans="1:24" s="10" customFormat="1" ht="58.5" customHeight="1">
      <c r="B15" s="145" t="str">
        <f>'04. Job Descriptions'!B21</f>
        <v>Business Strategy Design</v>
      </c>
      <c r="C15" s="97" t="str">
        <f>'04. Job Descriptions'!D21</f>
        <v>- Current State Analysis
- Future State Analysis
- Risk Analysis
- Define Change Strategy</v>
      </c>
      <c r="D15" s="146" t="e">
        <f>'04. Job Descriptions'!#REF!</f>
        <v>#REF!</v>
      </c>
      <c r="E15" s="153" t="s">
        <v>51</v>
      </c>
      <c r="F15" s="148"/>
      <c r="G15" s="149">
        <f>IFERROR((LEFT(E15,1)*D15/'04. Job Descriptions'!K21)*100,0)</f>
        <v>0</v>
      </c>
      <c r="H15" s="145" t="str">
        <f>IFERROR(HLOOKUP($H$3,'04. Job Descriptions'!$B$4:$J$35,19,0),"NA")</f>
        <v>NA</v>
      </c>
      <c r="I15" s="149" t="str">
        <f>IFERROR(HLOOKUP($H$3,'04. Job Descriptions'!$M$3:$R$35,20,0),"NA")</f>
        <v>NA</v>
      </c>
      <c r="J15" s="150" t="str">
        <f t="shared" si="1"/>
        <v>Yes</v>
      </c>
      <c r="K15" s="154"/>
      <c r="L15" s="152"/>
      <c r="M15" s="20"/>
      <c r="N15" s="20"/>
      <c r="O15" s="20"/>
      <c r="P15" s="20"/>
      <c r="Q15" s="20"/>
      <c r="R15" s="20"/>
      <c r="S15" s="20"/>
      <c r="T15" s="20"/>
      <c r="U15" s="20"/>
      <c r="V15" s="20"/>
      <c r="W15" s="20"/>
      <c r="X15" s="20"/>
    </row>
    <row r="16" spans="1:24" s="10" customFormat="1" ht="30" customHeight="1">
      <c r="B16" s="145" t="str">
        <f>'04. Job Descriptions'!B22</f>
        <v>Business Acumen and Mindsets</v>
      </c>
      <c r="C16" s="97" t="str">
        <f>'04. Job Descriptions'!D22</f>
        <v>- Understanding of fundamental business principles and best practices.
- Analysis mindsets</v>
      </c>
      <c r="D16" s="146" t="e">
        <f>'04. Job Descriptions'!#REF!</f>
        <v>#REF!</v>
      </c>
      <c r="E16" s="153" t="s">
        <v>51</v>
      </c>
      <c r="F16" s="148"/>
      <c r="G16" s="149">
        <f>IFERROR((LEFT(E16,1)*D16/'04. Job Descriptions'!K22)*100,0)</f>
        <v>0</v>
      </c>
      <c r="H16" s="145" t="str">
        <f>IFERROR(HLOOKUP($H$3,'04. Job Descriptions'!$B$4:$J$35,20,0),"NA")</f>
        <v>NA</v>
      </c>
      <c r="I16" s="149" t="str">
        <f>IFERROR(HLOOKUP($H$3,'04. Job Descriptions'!$M$3:$R$35,21,0),"NA")</f>
        <v>NA</v>
      </c>
      <c r="J16" s="150" t="str">
        <f t="shared" si="1"/>
        <v>Yes</v>
      </c>
      <c r="K16" s="154"/>
      <c r="L16" s="152"/>
      <c r="M16" s="20"/>
      <c r="N16" s="20"/>
      <c r="O16" s="20"/>
      <c r="P16" s="20"/>
      <c r="Q16" s="20"/>
      <c r="R16" s="20"/>
      <c r="S16" s="20"/>
      <c r="T16" s="20"/>
      <c r="U16" s="20"/>
      <c r="V16" s="20"/>
      <c r="W16" s="20"/>
      <c r="X16" s="20"/>
    </row>
    <row r="17" spans="2:24" s="10" customFormat="1" ht="46.5" customHeight="1">
      <c r="B17" s="145" t="str">
        <f>'04. Job Descriptions'!B23</f>
        <v>Software Design and Technology Stack</v>
      </c>
      <c r="C17" s="97" t="str">
        <f>'04. Job Descriptions'!D23</f>
        <v>- Software Architecture Design
- Object Oriented Design
- Relational and Non-Relational Database Platforms</v>
      </c>
      <c r="D17" s="146" t="e">
        <f>'04. Job Descriptions'!#REF!</f>
        <v>#REF!</v>
      </c>
      <c r="E17" s="153" t="s">
        <v>52</v>
      </c>
      <c r="F17" s="148"/>
      <c r="G17" s="149">
        <f>IFERROR((LEFT(E17,1)*D17/'04. Job Descriptions'!K23)*100,0)</f>
        <v>0</v>
      </c>
      <c r="H17" s="145" t="str">
        <f>IFERROR(HLOOKUP($H$3,'04. Job Descriptions'!$B$4:$J$35,21,0),"NA")</f>
        <v>NA</v>
      </c>
      <c r="I17" s="149" t="str">
        <f>IFERROR(HLOOKUP($H$3,'04. Job Descriptions'!$M$3:$R$35,22,0),"NA")</f>
        <v>NA</v>
      </c>
      <c r="J17" s="150" t="str">
        <f t="shared" si="1"/>
        <v>Yes</v>
      </c>
      <c r="K17" s="154"/>
      <c r="L17" s="152"/>
      <c r="M17" s="20"/>
      <c r="N17" s="20"/>
      <c r="O17" s="20"/>
      <c r="P17" s="20"/>
      <c r="Q17" s="20"/>
      <c r="R17" s="20"/>
      <c r="S17" s="20"/>
      <c r="T17" s="20"/>
      <c r="U17" s="20"/>
      <c r="V17" s="20"/>
      <c r="W17" s="20"/>
      <c r="X17" s="20"/>
    </row>
    <row r="18" spans="2:24" s="10" customFormat="1" ht="58.95" customHeight="1">
      <c r="B18" s="145" t="str">
        <f>'04. Job Descriptions'!B24</f>
        <v>Business Analysis Tools</v>
      </c>
      <c r="C18" s="97" t="str">
        <f>'04. Job Descriptions'!D24</f>
        <v>- Business Analysis Tools
- UI/UX Design Tools
- Architecture Design Tools
- Communication Tools</v>
      </c>
      <c r="D18" s="146" t="e">
        <f>'04. Job Descriptions'!#REF!</f>
        <v>#REF!</v>
      </c>
      <c r="E18" s="153" t="s">
        <v>51</v>
      </c>
      <c r="F18" s="148"/>
      <c r="G18" s="149">
        <f>IFERROR((LEFT(E18,1)*D18/'04. Job Descriptions'!K24)*100,0)</f>
        <v>0</v>
      </c>
      <c r="H18" s="145" t="str">
        <f>IFERROR(HLOOKUP($H$3,'04. Job Descriptions'!$B$4:$J$35,22,0),"NA")</f>
        <v>NA</v>
      </c>
      <c r="I18" s="149" t="str">
        <f>IFERROR(HLOOKUP($H$3,'04. Job Descriptions'!$M$3:$R$35,23,0),"NA")</f>
        <v>NA</v>
      </c>
      <c r="J18" s="150" t="str">
        <f t="shared" si="1"/>
        <v>Yes</v>
      </c>
      <c r="K18" s="154"/>
      <c r="L18" s="152"/>
      <c r="M18" s="20"/>
      <c r="N18" s="20"/>
      <c r="O18" s="20"/>
      <c r="P18" s="20"/>
      <c r="Q18" s="20"/>
      <c r="R18" s="20"/>
      <c r="S18" s="20"/>
      <c r="T18" s="20"/>
      <c r="U18" s="20"/>
      <c r="V18" s="20"/>
      <c r="W18" s="20"/>
      <c r="X18" s="20"/>
    </row>
    <row r="19" spans="2:24" ht="28.5" customHeight="1">
      <c r="B19" s="137" t="str">
        <f>'04. Job Descriptions'!B25</f>
        <v>Foreign Language &amp; Certificates</v>
      </c>
      <c r="C19" s="292" t="s">
        <v>536</v>
      </c>
      <c r="D19" s="138" t="e">
        <f>'04. Job Descriptions'!#REF!</f>
        <v>#REF!</v>
      </c>
      <c r="E19" s="155"/>
      <c r="F19" s="155"/>
      <c r="G19" s="141">
        <f>SUM(G20:G23)</f>
        <v>0</v>
      </c>
      <c r="H19" s="167"/>
      <c r="I19" s="142">
        <f>SUM(I20:I23)</f>
        <v>0</v>
      </c>
      <c r="J19" s="143"/>
      <c r="K19" s="144"/>
      <c r="L19" s="144"/>
    </row>
    <row r="20" spans="2:24" s="249" customFormat="1" ht="27.6">
      <c r="B20" s="145" t="str">
        <f>'04. Job Descriptions'!B26</f>
        <v>Foreign Language</v>
      </c>
      <c r="C20" s="96" t="str">
        <f>'04. Job Descriptions'!D26</f>
        <v>- Language Proficiency: English, Japanese, Korean, Chinese, Germany, French, Thailand</v>
      </c>
      <c r="D20" s="146" t="e">
        <f>'04. Job Descriptions'!#REF!</f>
        <v>#REF!</v>
      </c>
      <c r="E20" s="153" t="s">
        <v>504</v>
      </c>
      <c r="F20" s="250"/>
      <c r="G20" s="149">
        <f>IFERROR((LEFT(E20,1)*D20/'04. Job Descriptions'!K26)*100,0)</f>
        <v>0</v>
      </c>
      <c r="H20" s="145" t="str">
        <f>IFERROR(HLOOKUP($H$3,'04. Job Descriptions'!$B$4:$J$35,24,0),"NA")</f>
        <v>NA</v>
      </c>
      <c r="I20" s="149" t="str">
        <f>IFERROR(HLOOKUP($H$3,'04. Job Descriptions'!$M$3:$R$35,25,0),"NA")</f>
        <v>NA</v>
      </c>
      <c r="J20" s="150" t="str">
        <f>IF(G20&lt;I20,"Yes","No")</f>
        <v>Yes</v>
      </c>
      <c r="K20" s="251"/>
      <c r="L20" s="252"/>
      <c r="M20" s="253"/>
      <c r="N20" s="253"/>
      <c r="O20" s="253"/>
      <c r="P20" s="253"/>
      <c r="Q20" s="253"/>
      <c r="R20" s="253"/>
      <c r="S20" s="253"/>
      <c r="T20" s="253"/>
      <c r="U20" s="253"/>
      <c r="V20" s="253"/>
      <c r="W20" s="253"/>
      <c r="X20" s="253"/>
    </row>
    <row r="21" spans="2:24" s="249" customFormat="1" ht="69.45" customHeight="1">
      <c r="B21" s="145" t="str">
        <f>'04. Job Descriptions'!B27</f>
        <v>Education Background</v>
      </c>
      <c r="C21" s="96" t="str">
        <f>'04. Job Descriptions'!D27</f>
        <v>Required one of degree in Engineering and Non-Engineering: 
- Engineering: Computer Science | Information Technology | Computer Engineering | Software Engineering, ...
- Non-Engineering: Economics, Finances, Administrations, Social Science, Supply Chain, Logistics, ...</v>
      </c>
      <c r="D21" s="146" t="e">
        <f>'04. Job Descriptions'!#REF!</f>
        <v>#REF!</v>
      </c>
      <c r="E21" s="153" t="s">
        <v>370</v>
      </c>
      <c r="F21" s="250"/>
      <c r="G21" s="149">
        <f>IFERROR((LEFT(E21,1)*D21/'04. Job Descriptions'!K27)*100,0)</f>
        <v>0</v>
      </c>
      <c r="H21" s="145" t="str">
        <f>IFERROR(HLOOKUP($H$3,'04. Job Descriptions'!$B$4:$J$35,25,0),"NA")</f>
        <v>NA</v>
      </c>
      <c r="I21" s="149" t="str">
        <f>IFERROR(HLOOKUP($H$3,'04. Job Descriptions'!$M$3:$R$35,26,0),"NA")</f>
        <v>NA</v>
      </c>
      <c r="J21" s="150" t="str">
        <f>IF(G21&lt;I21,"Yes","No")</f>
        <v>Yes</v>
      </c>
      <c r="K21" s="251"/>
      <c r="L21" s="252"/>
      <c r="M21" s="253"/>
      <c r="N21" s="253"/>
      <c r="O21" s="253"/>
      <c r="P21" s="253"/>
      <c r="Q21" s="253"/>
      <c r="R21" s="253"/>
      <c r="S21" s="253"/>
      <c r="T21" s="253"/>
      <c r="U21" s="253"/>
      <c r="V21" s="253"/>
      <c r="W21" s="253"/>
      <c r="X21" s="253"/>
    </row>
    <row r="22" spans="2:24" s="249" customFormat="1" ht="24.45" customHeight="1">
      <c r="B22" s="145" t="str">
        <f>'04. Job Descriptions'!B28</f>
        <v>Business Analysis Certifications</v>
      </c>
      <c r="C22" s="96" t="str">
        <f>'04. Job Descriptions'!D28</f>
        <v>- Required certificates in Business Analysis: Business Analyst, Software Business Analyst</v>
      </c>
      <c r="D22" s="146" t="e">
        <f>'04. Job Descriptions'!#REF!</f>
        <v>#REF!</v>
      </c>
      <c r="E22" s="153" t="s">
        <v>366</v>
      </c>
      <c r="F22" s="250"/>
      <c r="G22" s="149">
        <f>IFERROR((LEFT(E22,1)*D22/'04. Job Descriptions'!K28)*100,0)</f>
        <v>0</v>
      </c>
      <c r="H22" s="145" t="str">
        <f>IFERROR(HLOOKUP($H$3,'04. Job Descriptions'!$B$4:$J$35,26,0),"NA")</f>
        <v>NA</v>
      </c>
      <c r="I22" s="149" t="str">
        <f>IFERROR(HLOOKUP($H$3,'04. Job Descriptions'!$M$3:$R$35,27,0),"NA")</f>
        <v>NA</v>
      </c>
      <c r="J22" s="150" t="str">
        <f>IF(G22&lt;I22,"Yes","No")</f>
        <v>Yes</v>
      </c>
      <c r="K22" s="251"/>
      <c r="L22" s="252"/>
      <c r="M22" s="253"/>
      <c r="N22" s="253"/>
      <c r="O22" s="253"/>
      <c r="P22" s="253"/>
      <c r="Q22" s="253"/>
      <c r="R22" s="253"/>
      <c r="S22" s="253"/>
      <c r="T22" s="253"/>
      <c r="U22" s="253"/>
      <c r="V22" s="253"/>
      <c r="W22" s="253"/>
      <c r="X22" s="253"/>
    </row>
    <row r="23" spans="2:24" s="249" customFormat="1" ht="24.45" customHeight="1">
      <c r="B23" s="145" t="str">
        <f>'04. Job Descriptions'!B29</f>
        <v>Individual Learning in Year</v>
      </c>
      <c r="C23" s="96" t="str">
        <f>'04. Job Descriptions'!D29</f>
        <v>- Joined the training courses of any FSOFT program (upskilling, reskilling, fasttrack, internal training) related to Business Analysis in year (ranking year)</v>
      </c>
      <c r="D23" s="146" t="e">
        <f>'04. Job Descriptions'!#REF!</f>
        <v>#REF!</v>
      </c>
      <c r="E23" s="153" t="s">
        <v>91</v>
      </c>
      <c r="F23" s="250"/>
      <c r="G23" s="149">
        <f>IFERROR((LEFT(E23,1)*D23/'04. Job Descriptions'!K29)*100,0)</f>
        <v>0</v>
      </c>
      <c r="H23" s="145" t="str">
        <f>IFERROR(HLOOKUP($H$3,'04. Job Descriptions'!$B$4:$J$35,27,0),"NA")</f>
        <v>NA</v>
      </c>
      <c r="I23" s="149" t="str">
        <f>IFERROR(HLOOKUP($H$3,'04. Job Descriptions'!$M$3:$R$35,28,0),"NA")</f>
        <v>NA</v>
      </c>
      <c r="J23" s="150" t="str">
        <f>IF(G23&lt;I23,"Yes","No")</f>
        <v>Yes</v>
      </c>
      <c r="K23" s="251"/>
      <c r="L23" s="252"/>
      <c r="M23" s="253"/>
      <c r="N23" s="253"/>
      <c r="O23" s="253"/>
      <c r="P23" s="253"/>
      <c r="Q23" s="253"/>
      <c r="R23" s="253"/>
      <c r="S23" s="253"/>
      <c r="T23" s="253"/>
      <c r="U23" s="253"/>
      <c r="V23" s="253"/>
      <c r="W23" s="253"/>
      <c r="X23" s="253"/>
    </row>
    <row r="24" spans="2:24" ht="28.95" customHeight="1">
      <c r="B24" s="137" t="str">
        <f>'04. Job Descriptions'!B30</f>
        <v>Non-Engineering and Softskills</v>
      </c>
      <c r="C24" s="292" t="s">
        <v>537</v>
      </c>
      <c r="D24" s="138" t="e">
        <f>'04. Job Descriptions'!#REF!</f>
        <v>#REF!</v>
      </c>
      <c r="E24" s="155"/>
      <c r="F24" s="155"/>
      <c r="G24" s="141">
        <f>SUM(G25:G29)</f>
        <v>0</v>
      </c>
      <c r="H24" s="167"/>
      <c r="I24" s="142">
        <f>SUM(I25:I29)</f>
        <v>0</v>
      </c>
      <c r="J24" s="143"/>
      <c r="K24" s="144"/>
      <c r="L24" s="144"/>
    </row>
    <row r="25" spans="2:24" s="10" customFormat="1" ht="74.55" customHeight="1">
      <c r="B25" s="145" t="str">
        <f>'04. Job Descriptions'!B31</f>
        <v>Communication and Problem Solving</v>
      </c>
      <c r="C25" s="98" t="str">
        <f>'04. Job Descriptions'!D31</f>
        <v>- Team Work
- Leadership &amp; Motivation
- Communication
- Problem Solving
- Change Management
- Networking/ Relationship building</v>
      </c>
      <c r="D25" s="146" t="e">
        <f>'04. Job Descriptions'!#REF!</f>
        <v>#REF!</v>
      </c>
      <c r="E25" s="153" t="s">
        <v>51</v>
      </c>
      <c r="F25" s="148"/>
      <c r="G25" s="149">
        <f>IFERROR((LEFT(E25,1)*D25/'04. Job Descriptions'!K31)*100,0)</f>
        <v>0</v>
      </c>
      <c r="H25" s="145" t="str">
        <f>IFERROR(HLOOKUP($H$3,'04. Job Descriptions'!$B$4:$J$35,29,0),"NA")</f>
        <v>NA</v>
      </c>
      <c r="I25" s="149" t="str">
        <f>IFERROR(HLOOKUP($H$3,'04. Job Descriptions'!$M$3:$R$35,30,0),"NA")</f>
        <v>NA</v>
      </c>
      <c r="J25" s="150" t="str">
        <f>IF(G25&lt;I25,"Yes","No")</f>
        <v>Yes</v>
      </c>
      <c r="K25" s="154"/>
      <c r="L25" s="152"/>
      <c r="M25" s="20"/>
      <c r="N25" s="20"/>
      <c r="O25" s="20"/>
      <c r="P25" s="20"/>
      <c r="Q25" s="20"/>
      <c r="R25" s="20"/>
      <c r="S25" s="20"/>
      <c r="T25" s="20"/>
      <c r="U25" s="20"/>
      <c r="V25" s="20"/>
      <c r="W25" s="20"/>
      <c r="X25" s="20"/>
    </row>
    <row r="26" spans="2:24" s="10" customFormat="1" ht="85.95" customHeight="1">
      <c r="B26" s="145" t="str">
        <f>'04. Job Descriptions'!B32</f>
        <v>Analytical and Critical Thinking</v>
      </c>
      <c r="C26" s="98" t="str">
        <f>'04. Job Descriptions'!D32</f>
        <v>- Research
- Forecasting
- Data mining
- Data and metrics interpreting
- Reporting
- Organization</v>
      </c>
      <c r="D26" s="146" t="e">
        <f>'04. Job Descriptions'!#REF!</f>
        <v>#REF!</v>
      </c>
      <c r="E26" s="153" t="s">
        <v>51</v>
      </c>
      <c r="F26" s="148"/>
      <c r="G26" s="149">
        <f>IFERROR((LEFT(E26,1)*D26/'04. Job Descriptions'!K32)*100,0)</f>
        <v>0</v>
      </c>
      <c r="H26" s="145" t="str">
        <f>IFERROR(HLOOKUP($H$3,'04. Job Descriptions'!$B$4:$J$35,31,0),"NA")</f>
        <v>NA</v>
      </c>
      <c r="I26" s="149" t="str">
        <f>IFERROR(HLOOKUP($H$3,'04. Job Descriptions'!$M$3:$R$35,32,0),"NA")</f>
        <v>NA</v>
      </c>
      <c r="J26" s="150" t="str">
        <f>IF(G26&lt;I26,"Yes","No")</f>
        <v>Yes</v>
      </c>
      <c r="K26" s="154"/>
      <c r="L26" s="152"/>
      <c r="M26" s="20"/>
      <c r="N26" s="20"/>
      <c r="O26" s="20"/>
      <c r="P26" s="20"/>
      <c r="Q26" s="20"/>
      <c r="R26" s="20"/>
      <c r="S26" s="20"/>
      <c r="T26" s="20"/>
      <c r="U26" s="20"/>
      <c r="V26" s="20"/>
      <c r="W26" s="20"/>
      <c r="X26" s="20"/>
    </row>
    <row r="27" spans="2:24" s="10" customFormat="1" ht="87" customHeight="1">
      <c r="B27" s="145" t="str">
        <f>'04. Job Descriptions'!B33</f>
        <v>Organization and Industry Knowledge</v>
      </c>
      <c r="C27" s="97" t="str">
        <f>'04. Job Descriptions'!D33</f>
        <v>- Agile Mindset
- Process Understanding
- Product Understanding
- Market trends &amp; Challenges
- Market drivers
- Customer Segmentation Understanding
- Organization Knowledge</v>
      </c>
      <c r="D27" s="146" t="e">
        <f>'04. Job Descriptions'!#REF!</f>
        <v>#REF!</v>
      </c>
      <c r="E27" s="153" t="s">
        <v>51</v>
      </c>
      <c r="F27" s="148"/>
      <c r="G27" s="149">
        <f>IFERROR((LEFT(E27,1)*D27/'04. Job Descriptions'!K33)*100,0)</f>
        <v>0</v>
      </c>
      <c r="H27" s="145" t="str">
        <f>IFERROR(HLOOKUP($H$3,'04. Job Descriptions'!$B$4:$J$35,30,0),"NA")</f>
        <v>NA</v>
      </c>
      <c r="I27" s="149" t="str">
        <f>IFERROR(HLOOKUP($H$3,'04. Job Descriptions'!$M$3:$R$35,31,0),"NA")</f>
        <v>NA</v>
      </c>
      <c r="J27" s="150" t="str">
        <f>IF(G27&lt;I27,"Yes","No")</f>
        <v>Yes</v>
      </c>
      <c r="K27" s="154"/>
      <c r="L27" s="152"/>
      <c r="M27" s="20"/>
      <c r="N27" s="20"/>
      <c r="O27" s="20"/>
      <c r="P27" s="20"/>
      <c r="Q27" s="20"/>
      <c r="R27" s="20"/>
      <c r="S27" s="20"/>
      <c r="T27" s="20"/>
      <c r="U27" s="20"/>
      <c r="V27" s="20"/>
      <c r="W27" s="20"/>
      <c r="X27" s="20"/>
    </row>
    <row r="28" spans="2:24" s="10" customFormat="1" ht="113.55" customHeight="1">
      <c r="B28" s="145" t="str">
        <f>'04. Job Descriptions'!B34</f>
        <v>Project Risk Management</v>
      </c>
      <c r="C28" s="97" t="str">
        <f>'04. Job Descriptions'!D34</f>
        <v>- Understand and utilize process of implementing risk response plans
- Tracking identified risks, monitoring residual risks, identifying new risks
- Evaluating risk process effectiveness throughout the project.
- Forecast risk that may occur in range of project that the team is responsible for.
- Analyze and perform preventitive actions to reduce risks raised by members.
- In the case that risks cannot be closed, raise the risk to leader/mamager and discuss with leader/manger to find out preventitive actions then follow up. (the risk in Methodology is the risk of Business solution. the risk mentioned in this sheet derives from project activities, especially in oursourcing project.)</v>
      </c>
      <c r="D28" s="146" t="e">
        <f>'04. Job Descriptions'!#REF!</f>
        <v>#REF!</v>
      </c>
      <c r="E28" s="153" t="s">
        <v>51</v>
      </c>
      <c r="F28" s="148"/>
      <c r="G28" s="149">
        <f>IFERROR((LEFT(E28,1)*D28/'04. Job Descriptions'!K34)*100,0)</f>
        <v>0</v>
      </c>
      <c r="H28" s="145" t="str">
        <f>IFERROR(HLOOKUP($H$3,'04. Job Descriptions'!$B$4:$J$35,32,0),"NA")</f>
        <v>NA</v>
      </c>
      <c r="I28" s="149" t="str">
        <f>IFERROR(HLOOKUP($H$3,'04. Job Descriptions'!$M$3:$R$35,33,0),"NA")</f>
        <v>NA</v>
      </c>
      <c r="J28" s="150" t="str">
        <f>IF(G28&lt;I28,"Yes","No")</f>
        <v>Yes</v>
      </c>
      <c r="K28" s="154"/>
      <c r="L28" s="152"/>
      <c r="M28" s="20"/>
      <c r="N28" s="20"/>
      <c r="O28" s="20"/>
      <c r="P28" s="20"/>
      <c r="Q28" s="20"/>
      <c r="R28" s="20"/>
      <c r="S28" s="20"/>
      <c r="T28" s="20"/>
      <c r="U28" s="20"/>
      <c r="V28" s="20"/>
      <c r="W28" s="20"/>
      <c r="X28" s="20"/>
    </row>
    <row r="29" spans="2:24" s="10" customFormat="1" ht="96.6">
      <c r="B29" s="145" t="str">
        <f>'04. Job Descriptions'!B35</f>
        <v>Project Human Resource Management</v>
      </c>
      <c r="C29" s="97" t="str">
        <f>'04. Job Descriptions'!D35</f>
        <v>- Understand the ability of each BA to assign appropriate projects/tasks.
- Understand project request for BA service to determine proper resource plan.
- Regularly control BA allocation to optimize resource.
- Monitor and control progress and status of BA involvement in each and every project; detect, resolve and followup to close any issue arising. 
- Evaluate performance, identify strengths as well as improvement points and propose career path for each BA</v>
      </c>
      <c r="D29" s="146" t="e">
        <f>'04. Job Descriptions'!#REF!</f>
        <v>#REF!</v>
      </c>
      <c r="E29" s="153" t="s">
        <v>51</v>
      </c>
      <c r="F29" s="148"/>
      <c r="G29" s="149">
        <f>IFERROR((LEFT(E29,1)*D29/'04. Job Descriptions'!K35)*100,0)</f>
        <v>0</v>
      </c>
      <c r="H29" s="145" t="str">
        <f>IFERROR(HLOOKUP($H$3,'04. Job Descriptions'!$B$4:$J$35,33,0),"NA")</f>
        <v>NA</v>
      </c>
      <c r="I29" s="149" t="str">
        <f>IFERROR(HLOOKUP($H$3,'04. Job Descriptions'!$M$3:$R$35,34,0),"NA")</f>
        <v>NA</v>
      </c>
      <c r="J29" s="150" t="str">
        <f>IF(G29&lt;I29,"Yes","No")</f>
        <v>Yes</v>
      </c>
      <c r="K29" s="154"/>
      <c r="L29" s="152"/>
      <c r="M29" s="20"/>
      <c r="N29" s="20"/>
      <c r="O29" s="20"/>
      <c r="P29" s="20"/>
      <c r="Q29" s="20"/>
      <c r="R29" s="20"/>
      <c r="S29" s="20"/>
      <c r="T29" s="20"/>
      <c r="U29" s="20"/>
      <c r="V29" s="20"/>
      <c r="W29" s="20"/>
      <c r="X29" s="20"/>
    </row>
    <row r="30" spans="2:24" s="16" customFormat="1">
      <c r="B30" s="38"/>
      <c r="C30" s="38"/>
      <c r="D30" s="11"/>
      <c r="F30" s="22"/>
      <c r="G30" s="21"/>
      <c r="H30" s="42"/>
      <c r="I30" s="11"/>
      <c r="J30" s="11"/>
      <c r="K30" s="26"/>
    </row>
    <row r="31" spans="2:24" s="16" customFormat="1">
      <c r="B31" s="38"/>
      <c r="C31" s="38"/>
      <c r="D31" s="11"/>
      <c r="F31" s="22"/>
      <c r="G31" s="21"/>
      <c r="H31" s="42"/>
      <c r="I31" s="11"/>
      <c r="J31" s="11"/>
      <c r="K31" s="26"/>
    </row>
    <row r="32" spans="2:24" s="16" customFormat="1">
      <c r="B32" s="38"/>
      <c r="C32" s="38"/>
      <c r="D32" s="11"/>
      <c r="F32" s="22"/>
      <c r="G32" s="21"/>
      <c r="H32" s="42"/>
      <c r="I32" s="11"/>
      <c r="J32" s="11"/>
      <c r="K32" s="26"/>
    </row>
    <row r="33" spans="2:11" s="16" customFormat="1">
      <c r="B33" s="38"/>
      <c r="C33" s="38"/>
      <c r="D33" s="11"/>
      <c r="F33" s="22"/>
      <c r="G33" s="21"/>
      <c r="H33" s="42"/>
      <c r="I33" s="11"/>
      <c r="J33" s="11"/>
      <c r="K33" s="26"/>
    </row>
    <row r="34" spans="2:11" s="16" customFormat="1">
      <c r="B34" s="38"/>
      <c r="C34" s="38"/>
      <c r="D34" s="11"/>
      <c r="F34" s="22"/>
      <c r="G34" s="21"/>
      <c r="H34" s="42"/>
      <c r="I34" s="11"/>
      <c r="J34" s="11"/>
      <c r="K34" s="26"/>
    </row>
    <row r="35" spans="2:11" s="16" customFormat="1">
      <c r="B35" s="38"/>
      <c r="C35" s="38"/>
      <c r="D35" s="11"/>
      <c r="F35" s="22"/>
      <c r="G35" s="21"/>
      <c r="H35" s="42"/>
      <c r="I35" s="11"/>
      <c r="J35" s="11"/>
      <c r="K35" s="26"/>
    </row>
    <row r="36" spans="2:11" s="16" customFormat="1">
      <c r="B36" s="38"/>
      <c r="C36" s="38"/>
      <c r="D36" s="11"/>
      <c r="F36" s="22"/>
      <c r="G36" s="21"/>
      <c r="H36" s="42"/>
      <c r="I36" s="11"/>
      <c r="J36" s="11"/>
      <c r="K36" s="26"/>
    </row>
    <row r="37" spans="2:11" s="16" customFormat="1">
      <c r="B37" s="38"/>
      <c r="C37" s="38"/>
      <c r="D37" s="11"/>
      <c r="F37" s="22"/>
      <c r="G37" s="21"/>
      <c r="H37" s="42"/>
      <c r="I37" s="11"/>
      <c r="J37" s="11"/>
      <c r="K37" s="26"/>
    </row>
    <row r="38" spans="2:11" s="16" customFormat="1">
      <c r="B38" s="38"/>
      <c r="C38" s="38"/>
      <c r="D38" s="11"/>
      <c r="F38" s="22"/>
      <c r="G38" s="21"/>
      <c r="H38" s="42"/>
      <c r="I38" s="11"/>
      <c r="J38" s="11"/>
      <c r="K38" s="26"/>
    </row>
    <row r="39" spans="2:11" s="16" customFormat="1">
      <c r="B39" s="38"/>
      <c r="C39" s="38"/>
      <c r="D39" s="11"/>
      <c r="F39" s="22"/>
      <c r="G39" s="21"/>
      <c r="H39" s="42"/>
      <c r="I39" s="11"/>
      <c r="J39" s="11"/>
      <c r="K39" s="26"/>
    </row>
    <row r="40" spans="2:11" s="16" customFormat="1">
      <c r="B40" s="38"/>
      <c r="C40" s="38"/>
      <c r="D40" s="11"/>
      <c r="F40" s="22"/>
      <c r="G40" s="21"/>
      <c r="H40" s="42"/>
      <c r="I40" s="11"/>
      <c r="J40" s="11"/>
      <c r="K40" s="26"/>
    </row>
    <row r="41" spans="2:11" s="16" customFormat="1">
      <c r="B41" s="38"/>
      <c r="C41" s="38"/>
      <c r="D41" s="11"/>
      <c r="F41" s="22"/>
      <c r="G41" s="21"/>
      <c r="H41" s="42"/>
      <c r="I41" s="11"/>
      <c r="J41" s="11"/>
      <c r="K41" s="26"/>
    </row>
    <row r="42" spans="2:11" s="16" customFormat="1">
      <c r="B42" s="38"/>
      <c r="C42" s="38"/>
      <c r="D42" s="11"/>
      <c r="F42" s="22"/>
      <c r="G42" s="21"/>
      <c r="H42" s="42"/>
      <c r="I42" s="11"/>
      <c r="J42" s="11"/>
      <c r="K42" s="26"/>
    </row>
    <row r="43" spans="2:11" s="16" customFormat="1">
      <c r="B43" s="38"/>
      <c r="C43" s="38"/>
      <c r="D43" s="11"/>
      <c r="F43" s="22"/>
      <c r="G43" s="21"/>
      <c r="H43" s="42"/>
      <c r="I43" s="11"/>
      <c r="J43" s="11"/>
      <c r="K43" s="26"/>
    </row>
    <row r="44" spans="2:11" s="16" customFormat="1">
      <c r="B44" s="38"/>
      <c r="C44" s="38"/>
      <c r="D44" s="11"/>
      <c r="F44" s="22"/>
      <c r="G44" s="21"/>
      <c r="H44" s="42"/>
      <c r="I44" s="11"/>
      <c r="J44" s="11"/>
      <c r="K44" s="26"/>
    </row>
    <row r="45" spans="2:11" s="16" customFormat="1">
      <c r="B45" s="38"/>
      <c r="C45" s="38"/>
      <c r="D45" s="11"/>
      <c r="F45" s="22"/>
      <c r="G45" s="21"/>
      <c r="H45" s="42"/>
      <c r="I45" s="11"/>
      <c r="J45" s="11"/>
      <c r="K45" s="26"/>
    </row>
    <row r="46" spans="2:11" s="16" customFormat="1">
      <c r="B46" s="38"/>
      <c r="C46" s="38"/>
      <c r="D46" s="11"/>
      <c r="F46" s="22"/>
      <c r="G46" s="21"/>
      <c r="H46" s="42"/>
      <c r="I46" s="11"/>
      <c r="J46" s="11"/>
      <c r="K46" s="26"/>
    </row>
    <row r="47" spans="2:11" s="16" customFormat="1">
      <c r="B47" s="38"/>
      <c r="C47" s="38"/>
      <c r="D47" s="11"/>
      <c r="F47" s="22"/>
      <c r="G47" s="21"/>
      <c r="H47" s="42"/>
      <c r="I47" s="11"/>
      <c r="J47" s="11"/>
      <c r="K47" s="26"/>
    </row>
    <row r="48" spans="2:11" s="16" customFormat="1">
      <c r="B48" s="38"/>
      <c r="C48" s="38"/>
      <c r="D48" s="11"/>
      <c r="F48" s="22"/>
      <c r="G48" s="21"/>
      <c r="H48" s="42"/>
      <c r="I48" s="11"/>
      <c r="J48" s="11"/>
      <c r="K48" s="26"/>
    </row>
    <row r="49" spans="2:11" s="16" customFormat="1">
      <c r="B49" s="38"/>
      <c r="C49" s="38"/>
      <c r="D49" s="11"/>
      <c r="F49" s="22"/>
      <c r="G49" s="21"/>
      <c r="H49" s="42"/>
      <c r="I49" s="11"/>
      <c r="J49" s="11"/>
      <c r="K49" s="26"/>
    </row>
    <row r="50" spans="2:11" s="16" customFormat="1">
      <c r="B50" s="38"/>
      <c r="C50" s="38"/>
      <c r="D50" s="11"/>
      <c r="F50" s="22"/>
      <c r="G50" s="21"/>
      <c r="H50" s="42"/>
      <c r="I50" s="11"/>
      <c r="J50" s="11"/>
      <c r="K50" s="26"/>
    </row>
    <row r="51" spans="2:11" s="16" customFormat="1">
      <c r="B51" s="38"/>
      <c r="C51" s="38"/>
      <c r="D51" s="11"/>
      <c r="F51" s="22"/>
      <c r="G51" s="21"/>
      <c r="H51" s="42"/>
      <c r="I51" s="11"/>
      <c r="J51" s="11"/>
      <c r="K51" s="26"/>
    </row>
    <row r="52" spans="2:11" s="16" customFormat="1">
      <c r="B52" s="38"/>
      <c r="C52" s="38"/>
      <c r="D52" s="11"/>
      <c r="F52" s="22"/>
      <c r="G52" s="21"/>
      <c r="H52" s="42"/>
      <c r="I52" s="11"/>
      <c r="J52" s="11"/>
      <c r="K52" s="26"/>
    </row>
    <row r="53" spans="2:11" s="16" customFormat="1">
      <c r="B53" s="38"/>
      <c r="C53" s="38"/>
      <c r="D53" s="11"/>
      <c r="F53" s="22"/>
      <c r="G53" s="21"/>
      <c r="H53" s="42"/>
      <c r="I53" s="11"/>
      <c r="J53" s="11"/>
      <c r="K53" s="26"/>
    </row>
    <row r="54" spans="2:11" s="16" customFormat="1">
      <c r="B54" s="38"/>
      <c r="C54" s="38"/>
      <c r="D54" s="11"/>
      <c r="F54" s="22"/>
      <c r="G54" s="21"/>
      <c r="H54" s="42"/>
      <c r="I54" s="11"/>
      <c r="J54" s="11"/>
      <c r="K54" s="26"/>
    </row>
    <row r="55" spans="2:11" s="16" customFormat="1">
      <c r="B55" s="38"/>
      <c r="C55" s="38"/>
      <c r="D55" s="11"/>
      <c r="F55" s="22"/>
      <c r="G55" s="21"/>
      <c r="H55" s="42"/>
      <c r="I55" s="11"/>
      <c r="J55" s="11"/>
      <c r="K55" s="26"/>
    </row>
    <row r="56" spans="2:11" s="16" customFormat="1">
      <c r="B56" s="38"/>
      <c r="C56" s="38"/>
      <c r="D56" s="11"/>
      <c r="F56" s="22"/>
      <c r="G56" s="21"/>
      <c r="H56" s="42"/>
      <c r="I56" s="11"/>
      <c r="J56" s="11"/>
      <c r="K56" s="26"/>
    </row>
    <row r="57" spans="2:11" s="16" customFormat="1">
      <c r="B57" s="38"/>
      <c r="C57" s="38"/>
      <c r="D57" s="11"/>
      <c r="F57" s="22"/>
      <c r="G57" s="21"/>
      <c r="H57" s="42"/>
      <c r="I57" s="11"/>
      <c r="J57" s="11"/>
      <c r="K57" s="26"/>
    </row>
    <row r="58" spans="2:11" s="16" customFormat="1">
      <c r="B58" s="38"/>
      <c r="C58" s="38"/>
      <c r="D58" s="11"/>
      <c r="F58" s="22"/>
      <c r="G58" s="21"/>
      <c r="H58" s="42"/>
      <c r="I58" s="11"/>
      <c r="J58" s="11"/>
      <c r="K58" s="26"/>
    </row>
    <row r="59" spans="2:11" s="16" customFormat="1">
      <c r="B59" s="38"/>
      <c r="C59" s="38"/>
      <c r="D59" s="11"/>
      <c r="F59" s="22"/>
      <c r="G59" s="21"/>
      <c r="H59" s="42"/>
      <c r="I59" s="11"/>
      <c r="J59" s="11"/>
      <c r="K59" s="26"/>
    </row>
    <row r="60" spans="2:11" s="16" customFormat="1">
      <c r="B60" s="38"/>
      <c r="C60" s="38"/>
      <c r="D60" s="11"/>
      <c r="F60" s="22"/>
      <c r="G60" s="21"/>
      <c r="H60" s="42"/>
      <c r="I60" s="11"/>
      <c r="J60" s="11"/>
      <c r="K60" s="26"/>
    </row>
    <row r="61" spans="2:11" s="16" customFormat="1">
      <c r="B61" s="38"/>
      <c r="C61" s="38"/>
      <c r="D61" s="11"/>
      <c r="F61" s="22"/>
      <c r="G61" s="21"/>
      <c r="H61" s="42"/>
      <c r="I61" s="11"/>
      <c r="J61" s="11"/>
      <c r="K61" s="26"/>
    </row>
    <row r="62" spans="2:11" s="16" customFormat="1">
      <c r="B62" s="38"/>
      <c r="C62" s="38"/>
      <c r="D62" s="11"/>
      <c r="F62" s="22"/>
      <c r="G62" s="21"/>
      <c r="H62" s="42"/>
      <c r="I62" s="11"/>
      <c r="J62" s="11"/>
      <c r="K62" s="26"/>
    </row>
    <row r="63" spans="2:11" s="16" customFormat="1">
      <c r="B63" s="38"/>
      <c r="C63" s="38"/>
      <c r="D63" s="11"/>
      <c r="F63" s="22"/>
      <c r="G63" s="21"/>
      <c r="H63" s="42"/>
      <c r="I63" s="11"/>
      <c r="J63" s="11"/>
      <c r="K63" s="26"/>
    </row>
    <row r="64" spans="2:11" s="16" customFormat="1">
      <c r="B64" s="38"/>
      <c r="C64" s="38"/>
      <c r="D64" s="11"/>
      <c r="F64" s="22"/>
      <c r="G64" s="21"/>
      <c r="H64" s="42"/>
      <c r="I64" s="11"/>
      <c r="J64" s="11"/>
      <c r="K64" s="26"/>
    </row>
    <row r="65" spans="2:11" s="16" customFormat="1">
      <c r="B65" s="38"/>
      <c r="C65" s="38"/>
      <c r="D65" s="11"/>
      <c r="F65" s="22"/>
      <c r="G65" s="21"/>
      <c r="H65" s="42"/>
      <c r="I65" s="11"/>
      <c r="J65" s="11"/>
      <c r="K65" s="26"/>
    </row>
    <row r="66" spans="2:11" s="16" customFormat="1">
      <c r="B66" s="38"/>
      <c r="C66" s="38"/>
      <c r="D66" s="11"/>
      <c r="F66" s="22"/>
      <c r="G66" s="21"/>
      <c r="H66" s="42"/>
      <c r="I66" s="11"/>
      <c r="J66" s="11"/>
      <c r="K66" s="26"/>
    </row>
    <row r="67" spans="2:11" s="16" customFormat="1">
      <c r="B67" s="38"/>
      <c r="C67" s="38"/>
      <c r="D67" s="11"/>
      <c r="F67" s="22"/>
      <c r="G67" s="21"/>
      <c r="H67" s="42"/>
      <c r="I67" s="11"/>
      <c r="J67" s="11"/>
      <c r="K67" s="26"/>
    </row>
    <row r="68" spans="2:11" s="16" customFormat="1">
      <c r="B68" s="38"/>
      <c r="C68" s="38"/>
      <c r="D68" s="11"/>
      <c r="F68" s="22"/>
      <c r="G68" s="21"/>
      <c r="H68" s="42"/>
      <c r="I68" s="11"/>
      <c r="J68" s="11"/>
      <c r="K68" s="26"/>
    </row>
    <row r="69" spans="2:11" s="16" customFormat="1">
      <c r="B69" s="38"/>
      <c r="C69" s="38"/>
      <c r="D69" s="11"/>
      <c r="F69" s="22"/>
      <c r="G69" s="21"/>
      <c r="H69" s="42"/>
      <c r="I69" s="11"/>
      <c r="J69" s="11"/>
      <c r="K69" s="26"/>
    </row>
    <row r="70" spans="2:11" s="16" customFormat="1">
      <c r="B70" s="38"/>
      <c r="C70" s="38"/>
      <c r="D70" s="11"/>
      <c r="F70" s="22"/>
      <c r="G70" s="21"/>
      <c r="H70" s="42"/>
      <c r="I70" s="11"/>
      <c r="J70" s="11"/>
      <c r="K70" s="26"/>
    </row>
    <row r="71" spans="2:11" s="16" customFormat="1">
      <c r="B71" s="38"/>
      <c r="C71" s="38"/>
      <c r="D71" s="11"/>
      <c r="F71" s="22"/>
      <c r="G71" s="21"/>
      <c r="H71" s="42"/>
      <c r="I71" s="11"/>
      <c r="J71" s="11"/>
      <c r="K71" s="26"/>
    </row>
    <row r="72" spans="2:11" s="16" customFormat="1">
      <c r="B72" s="38"/>
      <c r="C72" s="38"/>
      <c r="D72" s="11"/>
      <c r="F72" s="22"/>
      <c r="G72" s="21"/>
      <c r="H72" s="42"/>
      <c r="I72" s="11"/>
      <c r="J72" s="11"/>
      <c r="K72" s="26"/>
    </row>
    <row r="73" spans="2:11" s="16" customFormat="1">
      <c r="B73" s="38"/>
      <c r="C73" s="38"/>
      <c r="D73" s="11"/>
      <c r="F73" s="22"/>
      <c r="G73" s="21"/>
      <c r="H73" s="42"/>
      <c r="I73" s="11"/>
      <c r="J73" s="11"/>
      <c r="K73" s="26"/>
    </row>
    <row r="74" spans="2:11" s="16" customFormat="1">
      <c r="B74" s="38"/>
      <c r="C74" s="38"/>
      <c r="D74" s="11"/>
      <c r="F74" s="22"/>
      <c r="G74" s="21"/>
      <c r="H74" s="42"/>
      <c r="I74" s="11"/>
      <c r="J74" s="11"/>
      <c r="K74" s="26"/>
    </row>
    <row r="75" spans="2:11" s="16" customFormat="1">
      <c r="B75" s="38"/>
      <c r="C75" s="38"/>
      <c r="D75" s="11"/>
      <c r="F75" s="22"/>
      <c r="G75" s="21"/>
      <c r="H75" s="42"/>
      <c r="I75" s="11"/>
      <c r="J75" s="11"/>
      <c r="K75" s="26"/>
    </row>
    <row r="76" spans="2:11" s="16" customFormat="1">
      <c r="B76" s="38"/>
      <c r="C76" s="38"/>
      <c r="D76" s="11"/>
      <c r="F76" s="22"/>
      <c r="G76" s="21"/>
      <c r="H76" s="42"/>
      <c r="I76" s="11"/>
      <c r="J76" s="11"/>
      <c r="K76" s="26"/>
    </row>
    <row r="77" spans="2:11" s="16" customFormat="1">
      <c r="B77" s="38"/>
      <c r="C77" s="38"/>
      <c r="D77" s="11"/>
      <c r="F77" s="22"/>
      <c r="G77" s="21"/>
      <c r="H77" s="42"/>
      <c r="I77" s="11"/>
      <c r="J77" s="11"/>
      <c r="K77" s="26"/>
    </row>
    <row r="78" spans="2:11" s="16" customFormat="1">
      <c r="B78" s="38"/>
      <c r="C78" s="38"/>
      <c r="D78" s="11"/>
      <c r="F78" s="22"/>
      <c r="G78" s="21"/>
      <c r="H78" s="42"/>
      <c r="I78" s="11"/>
      <c r="J78" s="11"/>
      <c r="K78" s="26"/>
    </row>
    <row r="79" spans="2:11" s="16" customFormat="1">
      <c r="B79" s="38"/>
      <c r="C79" s="38"/>
      <c r="D79" s="11"/>
      <c r="F79" s="22"/>
      <c r="G79" s="21"/>
      <c r="H79" s="42"/>
      <c r="I79" s="11"/>
      <c r="J79" s="11"/>
      <c r="K79" s="26"/>
    </row>
    <row r="80" spans="2:11" s="16" customFormat="1">
      <c r="B80" s="38"/>
      <c r="C80" s="38"/>
      <c r="D80" s="11"/>
      <c r="F80" s="22"/>
      <c r="G80" s="21"/>
      <c r="H80" s="42"/>
      <c r="I80" s="11"/>
      <c r="J80" s="11"/>
      <c r="K80" s="26"/>
    </row>
    <row r="81" spans="2:11" s="16" customFormat="1">
      <c r="B81" s="38"/>
      <c r="C81" s="38"/>
      <c r="D81" s="11"/>
      <c r="F81" s="22"/>
      <c r="G81" s="21"/>
      <c r="H81" s="42"/>
      <c r="I81" s="11"/>
      <c r="J81" s="11"/>
      <c r="K81" s="26"/>
    </row>
    <row r="82" spans="2:11" s="16" customFormat="1">
      <c r="B82" s="38"/>
      <c r="C82" s="38"/>
      <c r="D82" s="11"/>
      <c r="F82" s="22"/>
      <c r="G82" s="21"/>
      <c r="H82" s="42"/>
      <c r="I82" s="11"/>
      <c r="J82" s="11"/>
      <c r="K82" s="26"/>
    </row>
    <row r="83" spans="2:11" s="16" customFormat="1">
      <c r="B83" s="38"/>
      <c r="C83" s="38"/>
      <c r="D83" s="11"/>
      <c r="F83" s="22"/>
      <c r="G83" s="21"/>
      <c r="H83" s="42"/>
      <c r="I83" s="11"/>
      <c r="J83" s="11"/>
      <c r="K83" s="26"/>
    </row>
    <row r="84" spans="2:11" s="16" customFormat="1">
      <c r="B84" s="38"/>
      <c r="C84" s="38"/>
      <c r="D84" s="11"/>
      <c r="F84" s="22"/>
      <c r="G84" s="21"/>
      <c r="H84" s="42"/>
      <c r="I84" s="11"/>
      <c r="J84" s="11"/>
      <c r="K84" s="26"/>
    </row>
    <row r="85" spans="2:11" s="16" customFormat="1">
      <c r="B85" s="38"/>
      <c r="C85" s="38"/>
      <c r="D85" s="11"/>
      <c r="F85" s="22"/>
      <c r="G85" s="21"/>
      <c r="H85" s="42"/>
      <c r="I85" s="11"/>
      <c r="J85" s="11"/>
      <c r="K85" s="26"/>
    </row>
    <row r="86" spans="2:11" s="16" customFormat="1">
      <c r="B86" s="38"/>
      <c r="C86" s="38"/>
      <c r="D86" s="11"/>
      <c r="F86" s="22"/>
      <c r="G86" s="21"/>
      <c r="H86" s="42"/>
      <c r="I86" s="11"/>
      <c r="J86" s="11"/>
      <c r="K86" s="26"/>
    </row>
    <row r="87" spans="2:11" s="16" customFormat="1">
      <c r="B87" s="38"/>
      <c r="C87" s="38"/>
      <c r="D87" s="11"/>
      <c r="F87" s="22"/>
      <c r="G87" s="21"/>
      <c r="H87" s="42"/>
      <c r="I87" s="11"/>
      <c r="J87" s="11"/>
      <c r="K87" s="26"/>
    </row>
    <row r="88" spans="2:11" s="16" customFormat="1">
      <c r="B88" s="38"/>
      <c r="C88" s="38"/>
      <c r="D88" s="11"/>
      <c r="F88" s="22"/>
      <c r="G88" s="21"/>
      <c r="H88" s="42"/>
      <c r="I88" s="11"/>
      <c r="J88" s="11"/>
      <c r="K88" s="26"/>
    </row>
    <row r="89" spans="2:11" s="16" customFormat="1">
      <c r="B89" s="38"/>
      <c r="C89" s="38"/>
      <c r="D89" s="11"/>
      <c r="F89" s="22"/>
      <c r="G89" s="21"/>
      <c r="H89" s="42"/>
      <c r="I89" s="11"/>
      <c r="J89" s="11"/>
      <c r="K89" s="26"/>
    </row>
    <row r="90" spans="2:11" s="16" customFormat="1">
      <c r="B90" s="38"/>
      <c r="C90" s="38"/>
      <c r="D90" s="11"/>
      <c r="F90" s="22"/>
      <c r="G90" s="21"/>
      <c r="H90" s="42"/>
      <c r="I90" s="11"/>
      <c r="J90" s="11"/>
      <c r="K90" s="26"/>
    </row>
    <row r="91" spans="2:11" s="16" customFormat="1">
      <c r="B91" s="38"/>
      <c r="C91" s="38"/>
      <c r="D91" s="11"/>
      <c r="F91" s="22"/>
      <c r="G91" s="21"/>
      <c r="H91" s="42"/>
      <c r="I91" s="11"/>
      <c r="J91" s="11"/>
      <c r="K91" s="26"/>
    </row>
    <row r="92" spans="2:11" s="16" customFormat="1">
      <c r="B92" s="38"/>
      <c r="C92" s="38"/>
      <c r="D92" s="11"/>
      <c r="F92" s="22"/>
      <c r="G92" s="21"/>
      <c r="H92" s="42"/>
      <c r="I92" s="11"/>
      <c r="J92" s="11"/>
      <c r="K92" s="26"/>
    </row>
    <row r="93" spans="2:11" s="16" customFormat="1">
      <c r="B93" s="38"/>
      <c r="C93" s="38"/>
      <c r="D93" s="11"/>
      <c r="F93" s="22"/>
      <c r="G93" s="21"/>
      <c r="H93" s="42"/>
      <c r="I93" s="11"/>
      <c r="J93" s="11"/>
      <c r="K93" s="26"/>
    </row>
    <row r="94" spans="2:11" s="16" customFormat="1">
      <c r="B94" s="38"/>
      <c r="C94" s="38"/>
      <c r="D94" s="11"/>
      <c r="F94" s="22"/>
      <c r="G94" s="21"/>
      <c r="H94" s="42"/>
      <c r="I94" s="11"/>
      <c r="J94" s="11"/>
      <c r="K94" s="26"/>
    </row>
    <row r="95" spans="2:11" s="16" customFormat="1">
      <c r="B95" s="38"/>
      <c r="C95" s="38"/>
      <c r="D95" s="11"/>
      <c r="F95" s="22"/>
      <c r="G95" s="21"/>
      <c r="H95" s="42"/>
      <c r="I95" s="11"/>
      <c r="J95" s="11"/>
      <c r="K95" s="26"/>
    </row>
    <row r="96" spans="2:11" s="16" customFormat="1">
      <c r="B96" s="38"/>
      <c r="C96" s="38"/>
      <c r="D96" s="11"/>
      <c r="F96" s="22"/>
      <c r="G96" s="21"/>
      <c r="H96" s="42"/>
      <c r="I96" s="11"/>
      <c r="J96" s="11"/>
      <c r="K96" s="26"/>
    </row>
    <row r="97" spans="2:11" s="16" customFormat="1">
      <c r="B97" s="38"/>
      <c r="C97" s="38"/>
      <c r="D97" s="11"/>
      <c r="F97" s="22"/>
      <c r="G97" s="21"/>
      <c r="H97" s="42"/>
      <c r="I97" s="11"/>
      <c r="J97" s="11"/>
      <c r="K97" s="26"/>
    </row>
    <row r="98" spans="2:11" s="16" customFormat="1">
      <c r="B98" s="38"/>
      <c r="C98" s="38"/>
      <c r="D98" s="11"/>
      <c r="F98" s="22"/>
      <c r="G98" s="21"/>
      <c r="H98" s="42"/>
      <c r="I98" s="11"/>
      <c r="J98" s="11"/>
      <c r="K98" s="26"/>
    </row>
    <row r="99" spans="2:11" s="16" customFormat="1">
      <c r="B99" s="38"/>
      <c r="C99" s="38"/>
      <c r="D99" s="11"/>
      <c r="F99" s="22"/>
      <c r="G99" s="21"/>
      <c r="H99" s="42"/>
      <c r="I99" s="11"/>
      <c r="J99" s="11"/>
      <c r="K99" s="26"/>
    </row>
    <row r="100" spans="2:11" s="16" customFormat="1">
      <c r="B100" s="38"/>
      <c r="C100" s="38"/>
      <c r="D100" s="11"/>
      <c r="F100" s="22"/>
      <c r="G100" s="21"/>
      <c r="H100" s="42"/>
      <c r="I100" s="11"/>
      <c r="J100" s="11"/>
      <c r="K100" s="26"/>
    </row>
    <row r="101" spans="2:11" s="16" customFormat="1">
      <c r="B101" s="38"/>
      <c r="C101" s="38"/>
      <c r="D101" s="11"/>
      <c r="F101" s="22"/>
      <c r="G101" s="21"/>
      <c r="H101" s="42"/>
      <c r="I101" s="11"/>
      <c r="J101" s="11"/>
      <c r="K101" s="26"/>
    </row>
    <row r="102" spans="2:11" s="16" customFormat="1">
      <c r="B102" s="38"/>
      <c r="C102" s="38"/>
      <c r="D102" s="11"/>
      <c r="F102" s="22"/>
      <c r="G102" s="21"/>
      <c r="H102" s="42"/>
      <c r="I102" s="11"/>
      <c r="J102" s="11"/>
      <c r="K102" s="26"/>
    </row>
    <row r="103" spans="2:11" s="16" customFormat="1">
      <c r="B103" s="38"/>
      <c r="C103" s="38"/>
      <c r="D103" s="11"/>
      <c r="F103" s="22"/>
      <c r="G103" s="21"/>
      <c r="H103" s="42"/>
      <c r="I103" s="11"/>
      <c r="J103" s="11"/>
      <c r="K103" s="26"/>
    </row>
    <row r="104" spans="2:11" s="16" customFormat="1">
      <c r="B104" s="38"/>
      <c r="C104" s="38"/>
      <c r="D104" s="11"/>
      <c r="F104" s="22"/>
      <c r="G104" s="21"/>
      <c r="H104" s="42"/>
      <c r="I104" s="11"/>
      <c r="J104" s="11"/>
      <c r="K104" s="26"/>
    </row>
    <row r="105" spans="2:11" s="16" customFormat="1">
      <c r="B105" s="38"/>
      <c r="C105" s="38"/>
      <c r="D105" s="11"/>
      <c r="F105" s="22"/>
      <c r="G105" s="21"/>
      <c r="H105" s="42"/>
      <c r="I105" s="11"/>
      <c r="J105" s="11"/>
      <c r="K105" s="26"/>
    </row>
    <row r="106" spans="2:11" s="16" customFormat="1">
      <c r="B106" s="38"/>
      <c r="C106" s="38"/>
      <c r="D106" s="11"/>
      <c r="F106" s="22"/>
      <c r="G106" s="21"/>
      <c r="H106" s="42"/>
      <c r="I106" s="11"/>
      <c r="J106" s="11"/>
      <c r="K106" s="26"/>
    </row>
    <row r="107" spans="2:11" s="16" customFormat="1">
      <c r="B107" s="38"/>
      <c r="C107" s="38"/>
      <c r="D107" s="11"/>
      <c r="F107" s="22"/>
      <c r="G107" s="21"/>
      <c r="H107" s="42"/>
      <c r="I107" s="11"/>
      <c r="J107" s="11"/>
      <c r="K107" s="26"/>
    </row>
    <row r="108" spans="2:11" s="16" customFormat="1">
      <c r="B108" s="38"/>
      <c r="C108" s="38"/>
      <c r="D108" s="11"/>
      <c r="F108" s="22"/>
      <c r="G108" s="21"/>
      <c r="H108" s="42"/>
      <c r="I108" s="11"/>
      <c r="J108" s="11"/>
      <c r="K108" s="26"/>
    </row>
    <row r="109" spans="2:11" s="16" customFormat="1">
      <c r="B109" s="38"/>
      <c r="C109" s="38"/>
      <c r="D109" s="11"/>
      <c r="F109" s="22"/>
      <c r="G109" s="21"/>
      <c r="H109" s="42"/>
      <c r="I109" s="11"/>
      <c r="J109" s="11"/>
      <c r="K109" s="26"/>
    </row>
    <row r="110" spans="2:11" s="16" customFormat="1">
      <c r="B110" s="38"/>
      <c r="C110" s="38"/>
      <c r="D110" s="11"/>
      <c r="F110" s="22"/>
      <c r="G110" s="21"/>
      <c r="H110" s="42"/>
      <c r="I110" s="11"/>
      <c r="J110" s="11"/>
      <c r="K110" s="26"/>
    </row>
    <row r="111" spans="2:11" s="16" customFormat="1">
      <c r="B111" s="38"/>
      <c r="C111" s="38"/>
      <c r="D111" s="11"/>
      <c r="F111" s="22"/>
      <c r="G111" s="21"/>
      <c r="H111" s="42"/>
      <c r="I111" s="11"/>
      <c r="J111" s="11"/>
      <c r="K111" s="26"/>
    </row>
    <row r="112" spans="2:11" s="16" customFormat="1">
      <c r="B112" s="38"/>
      <c r="C112" s="38"/>
      <c r="D112" s="11"/>
      <c r="F112" s="22"/>
      <c r="G112" s="21"/>
      <c r="H112" s="42"/>
      <c r="I112" s="11"/>
      <c r="J112" s="11"/>
      <c r="K112" s="26"/>
    </row>
    <row r="113" spans="2:11" s="16" customFormat="1">
      <c r="B113" s="38"/>
      <c r="C113" s="38"/>
      <c r="D113" s="11"/>
      <c r="F113" s="22"/>
      <c r="G113" s="21"/>
      <c r="H113" s="42"/>
      <c r="I113" s="11"/>
      <c r="J113" s="11"/>
      <c r="K113" s="26"/>
    </row>
    <row r="114" spans="2:11" s="16" customFormat="1">
      <c r="B114" s="38"/>
      <c r="C114" s="38"/>
      <c r="D114" s="11"/>
      <c r="F114" s="22"/>
      <c r="G114" s="21"/>
      <c r="H114" s="42"/>
      <c r="I114" s="11"/>
      <c r="J114" s="11"/>
      <c r="K114" s="26"/>
    </row>
    <row r="115" spans="2:11" s="16" customFormat="1">
      <c r="B115" s="38"/>
      <c r="C115" s="38"/>
      <c r="D115" s="11"/>
      <c r="F115" s="22"/>
      <c r="G115" s="21"/>
      <c r="H115" s="42"/>
      <c r="I115" s="11"/>
      <c r="J115" s="11"/>
      <c r="K115" s="26"/>
    </row>
    <row r="116" spans="2:11" s="16" customFormat="1">
      <c r="B116" s="38"/>
      <c r="C116" s="38"/>
      <c r="D116" s="11"/>
      <c r="F116" s="22"/>
      <c r="G116" s="21"/>
      <c r="H116" s="42"/>
      <c r="I116" s="11"/>
      <c r="J116" s="11"/>
      <c r="K116" s="26"/>
    </row>
    <row r="117" spans="2:11" s="16" customFormat="1">
      <c r="B117" s="38"/>
      <c r="C117" s="38"/>
      <c r="D117" s="11"/>
      <c r="F117" s="22"/>
      <c r="G117" s="21"/>
      <c r="H117" s="42"/>
      <c r="I117" s="11"/>
      <c r="J117" s="11"/>
      <c r="K117" s="26"/>
    </row>
    <row r="118" spans="2:11" s="16" customFormat="1">
      <c r="B118" s="38"/>
      <c r="C118" s="38"/>
      <c r="D118" s="11"/>
      <c r="F118" s="22"/>
      <c r="G118" s="21"/>
      <c r="H118" s="42"/>
      <c r="I118" s="11"/>
      <c r="J118" s="11"/>
      <c r="K118" s="26"/>
    </row>
    <row r="119" spans="2:11" s="16" customFormat="1">
      <c r="B119" s="38"/>
      <c r="C119" s="38"/>
      <c r="D119" s="11"/>
      <c r="F119" s="22"/>
      <c r="G119" s="21"/>
      <c r="H119" s="42"/>
      <c r="I119" s="11"/>
      <c r="J119" s="11"/>
      <c r="K119" s="26"/>
    </row>
    <row r="120" spans="2:11" s="16" customFormat="1">
      <c r="B120" s="38"/>
      <c r="C120" s="38"/>
      <c r="D120" s="11"/>
      <c r="F120" s="22"/>
      <c r="G120" s="21"/>
      <c r="H120" s="42"/>
      <c r="I120" s="11"/>
      <c r="J120" s="11"/>
      <c r="K120" s="26"/>
    </row>
    <row r="121" spans="2:11" s="16" customFormat="1">
      <c r="B121" s="38"/>
      <c r="C121" s="38"/>
      <c r="D121" s="11"/>
      <c r="F121" s="22"/>
      <c r="G121" s="21"/>
      <c r="H121" s="42"/>
      <c r="I121" s="11"/>
      <c r="J121" s="11"/>
      <c r="K121" s="26"/>
    </row>
    <row r="122" spans="2:11" s="16" customFormat="1">
      <c r="B122" s="38"/>
      <c r="C122" s="38"/>
      <c r="D122" s="11"/>
      <c r="F122" s="22"/>
      <c r="G122" s="21"/>
      <c r="H122" s="42"/>
      <c r="I122" s="11"/>
      <c r="J122" s="11"/>
      <c r="K122" s="26"/>
    </row>
    <row r="123" spans="2:11" s="16" customFormat="1">
      <c r="B123" s="38"/>
      <c r="C123" s="38"/>
      <c r="D123" s="11"/>
      <c r="F123" s="22"/>
      <c r="G123" s="21"/>
      <c r="H123" s="42"/>
      <c r="I123" s="11"/>
      <c r="J123" s="11"/>
      <c r="K123" s="26"/>
    </row>
    <row r="124" spans="2:11" s="16" customFormat="1">
      <c r="B124" s="38"/>
      <c r="C124" s="38"/>
      <c r="D124" s="11"/>
      <c r="F124" s="22"/>
      <c r="G124" s="21"/>
      <c r="H124" s="42"/>
      <c r="I124" s="11"/>
      <c r="J124" s="11"/>
      <c r="K124" s="26"/>
    </row>
    <row r="125" spans="2:11" s="16" customFormat="1">
      <c r="B125" s="38"/>
      <c r="C125" s="38"/>
      <c r="D125" s="11"/>
      <c r="F125" s="22"/>
      <c r="G125" s="21"/>
      <c r="H125" s="42"/>
      <c r="I125" s="11"/>
      <c r="J125" s="11"/>
      <c r="K125" s="26"/>
    </row>
    <row r="126" spans="2:11" s="16" customFormat="1">
      <c r="B126" s="38"/>
      <c r="C126" s="38"/>
      <c r="D126" s="11"/>
      <c r="F126" s="22"/>
      <c r="G126" s="21"/>
      <c r="H126" s="42"/>
      <c r="I126" s="11"/>
      <c r="J126" s="11"/>
      <c r="K126" s="26"/>
    </row>
    <row r="127" spans="2:11" s="16" customFormat="1">
      <c r="B127" s="38"/>
      <c r="C127" s="38"/>
      <c r="D127" s="11"/>
      <c r="F127" s="22"/>
      <c r="G127" s="21"/>
      <c r="H127" s="42"/>
      <c r="I127" s="11"/>
      <c r="J127" s="11"/>
      <c r="K127" s="26"/>
    </row>
    <row r="128" spans="2:11" s="16" customFormat="1">
      <c r="B128" s="38"/>
      <c r="C128" s="38"/>
      <c r="D128" s="11"/>
      <c r="F128" s="22"/>
      <c r="G128" s="21"/>
      <c r="H128" s="42"/>
      <c r="I128" s="11"/>
      <c r="J128" s="11"/>
      <c r="K128" s="26"/>
    </row>
    <row r="129" spans="2:11" s="16" customFormat="1">
      <c r="B129" s="38"/>
      <c r="C129" s="38"/>
      <c r="D129" s="11"/>
      <c r="F129" s="22"/>
      <c r="G129" s="21"/>
      <c r="H129" s="42"/>
      <c r="I129" s="11"/>
      <c r="J129" s="11"/>
      <c r="K129" s="26"/>
    </row>
    <row r="130" spans="2:11" s="16" customFormat="1">
      <c r="B130" s="38"/>
      <c r="C130" s="38"/>
      <c r="D130" s="11"/>
      <c r="F130" s="22"/>
      <c r="G130" s="21"/>
      <c r="H130" s="42"/>
      <c r="I130" s="11"/>
      <c r="J130" s="11"/>
      <c r="K130" s="26"/>
    </row>
    <row r="131" spans="2:11" s="16" customFormat="1">
      <c r="B131" s="38"/>
      <c r="C131" s="38"/>
      <c r="D131" s="11"/>
      <c r="F131" s="22"/>
      <c r="G131" s="21"/>
      <c r="H131" s="42"/>
      <c r="I131" s="11"/>
      <c r="J131" s="11"/>
      <c r="K131" s="26"/>
    </row>
    <row r="132" spans="2:11" s="16" customFormat="1">
      <c r="B132" s="38"/>
      <c r="C132" s="38"/>
      <c r="D132" s="11"/>
      <c r="F132" s="22"/>
      <c r="G132" s="21"/>
      <c r="H132" s="42"/>
      <c r="I132" s="11"/>
      <c r="J132" s="11"/>
      <c r="K132" s="26"/>
    </row>
    <row r="133" spans="2:11" s="16" customFormat="1">
      <c r="B133" s="38"/>
      <c r="C133" s="38"/>
      <c r="D133" s="11"/>
      <c r="F133" s="22"/>
      <c r="G133" s="21"/>
      <c r="H133" s="42"/>
      <c r="I133" s="11"/>
      <c r="J133" s="11"/>
      <c r="K133" s="26"/>
    </row>
    <row r="134" spans="2:11" s="16" customFormat="1">
      <c r="B134" s="38"/>
      <c r="C134" s="38"/>
      <c r="D134" s="11"/>
      <c r="F134" s="22"/>
      <c r="G134" s="21"/>
      <c r="H134" s="42"/>
      <c r="I134" s="11"/>
      <c r="J134" s="11"/>
      <c r="K134" s="26"/>
    </row>
    <row r="135" spans="2:11" s="16" customFormat="1">
      <c r="B135" s="38"/>
      <c r="C135" s="38"/>
      <c r="D135" s="11"/>
      <c r="F135" s="22"/>
      <c r="G135" s="21"/>
      <c r="H135" s="42"/>
      <c r="I135" s="11"/>
      <c r="J135" s="11"/>
      <c r="K135" s="26"/>
    </row>
    <row r="136" spans="2:11" s="16" customFormat="1">
      <c r="B136" s="38"/>
      <c r="C136" s="38"/>
      <c r="D136" s="11"/>
      <c r="F136" s="22"/>
      <c r="G136" s="21"/>
      <c r="H136" s="42"/>
      <c r="I136" s="11"/>
      <c r="J136" s="11"/>
      <c r="K136" s="26"/>
    </row>
    <row r="137" spans="2:11" s="16" customFormat="1">
      <c r="B137" s="38"/>
      <c r="C137" s="38"/>
      <c r="D137" s="11"/>
      <c r="F137" s="22"/>
      <c r="G137" s="21"/>
      <c r="H137" s="42"/>
      <c r="I137" s="11"/>
      <c r="J137" s="11"/>
      <c r="K137" s="26"/>
    </row>
    <row r="138" spans="2:11" s="16" customFormat="1">
      <c r="B138" s="38"/>
      <c r="C138" s="38"/>
      <c r="D138" s="11"/>
      <c r="F138" s="22"/>
      <c r="G138" s="21"/>
      <c r="H138" s="42"/>
      <c r="I138" s="11"/>
      <c r="J138" s="11"/>
      <c r="K138" s="26"/>
    </row>
    <row r="139" spans="2:11" s="16" customFormat="1">
      <c r="B139" s="38"/>
      <c r="C139" s="38"/>
      <c r="D139" s="11"/>
      <c r="F139" s="22"/>
      <c r="G139" s="21"/>
      <c r="H139" s="42"/>
      <c r="I139" s="11"/>
      <c r="J139" s="11"/>
      <c r="K139" s="26"/>
    </row>
    <row r="140" spans="2:11" s="16" customFormat="1">
      <c r="B140" s="38"/>
      <c r="C140" s="38"/>
      <c r="D140" s="11"/>
      <c r="F140" s="22"/>
      <c r="G140" s="21"/>
      <c r="H140" s="42"/>
      <c r="I140" s="11"/>
      <c r="J140" s="11"/>
      <c r="K140" s="26"/>
    </row>
    <row r="141" spans="2:11" s="16" customFormat="1">
      <c r="B141" s="38"/>
      <c r="C141" s="38"/>
      <c r="D141" s="11"/>
      <c r="F141" s="22"/>
      <c r="G141" s="21"/>
      <c r="H141" s="42"/>
      <c r="I141" s="11"/>
      <c r="J141" s="11"/>
      <c r="K141" s="26"/>
    </row>
    <row r="142" spans="2:11" s="16" customFormat="1">
      <c r="B142" s="38"/>
      <c r="C142" s="38"/>
      <c r="D142" s="11"/>
      <c r="F142" s="22"/>
      <c r="G142" s="21"/>
      <c r="H142" s="42"/>
      <c r="I142" s="11"/>
      <c r="J142" s="11"/>
      <c r="K142" s="26"/>
    </row>
    <row r="143" spans="2:11" s="16" customFormat="1">
      <c r="B143" s="38"/>
      <c r="C143" s="38"/>
      <c r="D143" s="11"/>
      <c r="F143" s="22"/>
      <c r="G143" s="21"/>
      <c r="H143" s="42"/>
      <c r="I143" s="11"/>
      <c r="J143" s="11"/>
      <c r="K143" s="26"/>
    </row>
    <row r="144" spans="2:11" s="16" customFormat="1">
      <c r="B144" s="38"/>
      <c r="C144" s="38"/>
      <c r="D144" s="11"/>
      <c r="F144" s="22"/>
      <c r="G144" s="21"/>
      <c r="H144" s="42"/>
      <c r="I144" s="11"/>
      <c r="J144" s="11"/>
      <c r="K144" s="26"/>
    </row>
    <row r="145" spans="2:11" s="16" customFormat="1">
      <c r="B145" s="38"/>
      <c r="C145" s="38"/>
      <c r="D145" s="11"/>
      <c r="F145" s="22"/>
      <c r="G145" s="21"/>
      <c r="H145" s="42"/>
      <c r="I145" s="11"/>
      <c r="J145" s="11"/>
      <c r="K145" s="26"/>
    </row>
    <row r="146" spans="2:11" s="16" customFormat="1">
      <c r="B146" s="38"/>
      <c r="C146" s="38"/>
      <c r="D146" s="11"/>
      <c r="F146" s="22"/>
      <c r="G146" s="21"/>
      <c r="H146" s="42"/>
      <c r="I146" s="11"/>
      <c r="J146" s="11"/>
      <c r="K146" s="26"/>
    </row>
    <row r="147" spans="2:11" s="16" customFormat="1">
      <c r="B147" s="38"/>
      <c r="C147" s="38"/>
      <c r="D147" s="11"/>
      <c r="F147" s="22"/>
      <c r="G147" s="21"/>
      <c r="H147" s="42"/>
      <c r="I147" s="11"/>
      <c r="J147" s="11"/>
      <c r="K147" s="26"/>
    </row>
    <row r="148" spans="2:11" s="16" customFormat="1">
      <c r="B148" s="38"/>
      <c r="C148" s="38"/>
      <c r="D148" s="11"/>
      <c r="F148" s="22"/>
      <c r="G148" s="21"/>
      <c r="H148" s="42"/>
      <c r="I148" s="11"/>
      <c r="J148" s="11"/>
      <c r="K148" s="26"/>
    </row>
    <row r="149" spans="2:11" s="16" customFormat="1">
      <c r="B149" s="38"/>
      <c r="C149" s="38"/>
      <c r="D149" s="11"/>
      <c r="F149" s="22"/>
      <c r="G149" s="21"/>
      <c r="H149" s="42"/>
      <c r="I149" s="11"/>
      <c r="J149" s="11"/>
      <c r="K149" s="26"/>
    </row>
    <row r="150" spans="2:11" s="16" customFormat="1">
      <c r="B150" s="38"/>
      <c r="C150" s="38"/>
      <c r="D150" s="11"/>
      <c r="F150" s="22"/>
      <c r="G150" s="21"/>
      <c r="H150" s="42"/>
      <c r="I150" s="11"/>
      <c r="J150" s="11"/>
      <c r="K150" s="26"/>
    </row>
    <row r="151" spans="2:11" s="16" customFormat="1">
      <c r="B151" s="38"/>
      <c r="C151" s="38"/>
      <c r="D151" s="11"/>
      <c r="F151" s="22"/>
      <c r="G151" s="21"/>
      <c r="H151" s="42"/>
      <c r="I151" s="11"/>
      <c r="J151" s="11"/>
      <c r="K151" s="26"/>
    </row>
    <row r="152" spans="2:11" s="16" customFormat="1">
      <c r="B152" s="38"/>
      <c r="C152" s="38"/>
      <c r="D152" s="11"/>
      <c r="F152" s="22"/>
      <c r="G152" s="21"/>
      <c r="H152" s="42"/>
      <c r="I152" s="11"/>
      <c r="J152" s="11"/>
      <c r="K152" s="26"/>
    </row>
    <row r="153" spans="2:11" s="16" customFormat="1">
      <c r="B153" s="38"/>
      <c r="C153" s="38"/>
      <c r="D153" s="11"/>
      <c r="F153" s="22"/>
      <c r="G153" s="21"/>
      <c r="H153" s="42"/>
      <c r="I153" s="11"/>
      <c r="J153" s="11"/>
      <c r="K153" s="26"/>
    </row>
    <row r="154" spans="2:11" s="16" customFormat="1">
      <c r="B154" s="38"/>
      <c r="C154" s="38"/>
      <c r="D154" s="11"/>
      <c r="F154" s="22"/>
      <c r="G154" s="21"/>
      <c r="H154" s="42"/>
      <c r="I154" s="11"/>
      <c r="J154" s="11"/>
      <c r="K154" s="26"/>
    </row>
    <row r="155" spans="2:11" s="16" customFormat="1">
      <c r="B155" s="38"/>
      <c r="C155" s="38"/>
      <c r="D155" s="11"/>
      <c r="F155" s="22"/>
      <c r="G155" s="21"/>
      <c r="H155" s="42"/>
      <c r="I155" s="11"/>
      <c r="J155" s="11"/>
      <c r="K155" s="26"/>
    </row>
    <row r="156" spans="2:11" s="16" customFormat="1">
      <c r="B156" s="38"/>
      <c r="C156" s="38"/>
      <c r="D156" s="11"/>
      <c r="F156" s="22"/>
      <c r="G156" s="21"/>
      <c r="H156" s="42"/>
      <c r="I156" s="11"/>
      <c r="J156" s="11"/>
      <c r="K156" s="26"/>
    </row>
    <row r="157" spans="2:11" s="16" customFormat="1">
      <c r="B157" s="38"/>
      <c r="C157" s="38"/>
      <c r="D157" s="11"/>
      <c r="F157" s="22"/>
      <c r="G157" s="21"/>
      <c r="H157" s="42"/>
      <c r="I157" s="11"/>
      <c r="J157" s="11"/>
      <c r="K157" s="26"/>
    </row>
    <row r="158" spans="2:11" s="16" customFormat="1">
      <c r="B158" s="38"/>
      <c r="C158" s="38"/>
      <c r="D158" s="11"/>
      <c r="F158" s="22"/>
      <c r="G158" s="21"/>
      <c r="H158" s="42"/>
      <c r="I158" s="11"/>
      <c r="J158" s="11"/>
      <c r="K158" s="26"/>
    </row>
    <row r="159" spans="2:11" s="16" customFormat="1">
      <c r="B159" s="38"/>
      <c r="C159" s="38"/>
      <c r="D159" s="11"/>
      <c r="F159" s="22"/>
      <c r="G159" s="21"/>
      <c r="H159" s="42"/>
      <c r="I159" s="11"/>
      <c r="J159" s="11"/>
      <c r="K159" s="26"/>
    </row>
    <row r="160" spans="2:11" s="16" customFormat="1">
      <c r="B160" s="38"/>
      <c r="C160" s="38"/>
      <c r="D160" s="11"/>
      <c r="F160" s="22"/>
      <c r="G160" s="21"/>
      <c r="H160" s="42"/>
      <c r="I160" s="11"/>
      <c r="J160" s="11"/>
      <c r="K160" s="26"/>
    </row>
    <row r="161" spans="2:11" s="16" customFormat="1">
      <c r="B161" s="38"/>
      <c r="C161" s="38"/>
      <c r="D161" s="11"/>
      <c r="F161" s="22"/>
      <c r="G161" s="21"/>
      <c r="H161" s="42"/>
      <c r="I161" s="11"/>
      <c r="J161" s="11"/>
      <c r="K161" s="26"/>
    </row>
    <row r="162" spans="2:11" s="16" customFormat="1">
      <c r="B162" s="38"/>
      <c r="C162" s="38"/>
      <c r="D162" s="11"/>
      <c r="F162" s="22"/>
      <c r="G162" s="21"/>
      <c r="H162" s="42"/>
      <c r="I162" s="11"/>
      <c r="J162" s="11"/>
      <c r="K162" s="26"/>
    </row>
    <row r="163" spans="2:11" s="16" customFormat="1">
      <c r="B163" s="38"/>
      <c r="C163" s="38"/>
      <c r="D163" s="11"/>
      <c r="F163" s="22"/>
      <c r="G163" s="21"/>
      <c r="H163" s="42"/>
      <c r="I163" s="11"/>
      <c r="J163" s="11"/>
      <c r="K163" s="26"/>
    </row>
    <row r="164" spans="2:11" s="16" customFormat="1">
      <c r="B164" s="38"/>
      <c r="C164" s="38"/>
      <c r="D164" s="11"/>
      <c r="F164" s="22"/>
      <c r="G164" s="21"/>
      <c r="H164" s="42"/>
      <c r="I164" s="11"/>
      <c r="J164" s="11"/>
      <c r="K164" s="26"/>
    </row>
    <row r="165" spans="2:11" s="16" customFormat="1">
      <c r="B165" s="38"/>
      <c r="C165" s="38"/>
      <c r="D165" s="11"/>
      <c r="F165" s="22"/>
      <c r="G165" s="21"/>
      <c r="H165" s="42"/>
      <c r="I165" s="11"/>
      <c r="J165" s="11"/>
      <c r="K165" s="26"/>
    </row>
    <row r="166" spans="2:11" s="16" customFormat="1">
      <c r="B166" s="38"/>
      <c r="C166" s="38"/>
      <c r="D166" s="11"/>
      <c r="F166" s="22"/>
      <c r="G166" s="21"/>
      <c r="H166" s="42"/>
      <c r="I166" s="11"/>
      <c r="J166" s="11"/>
      <c r="K166" s="26"/>
    </row>
    <row r="167" spans="2:11" s="16" customFormat="1">
      <c r="B167" s="38"/>
      <c r="C167" s="38"/>
      <c r="D167" s="11"/>
      <c r="F167" s="22"/>
      <c r="G167" s="21"/>
      <c r="H167" s="42"/>
      <c r="I167" s="11"/>
      <c r="J167" s="11"/>
      <c r="K167" s="26"/>
    </row>
    <row r="168" spans="2:11" s="16" customFormat="1">
      <c r="B168" s="38"/>
      <c r="C168" s="38"/>
      <c r="D168" s="11"/>
      <c r="F168" s="22"/>
      <c r="G168" s="21"/>
      <c r="H168" s="42"/>
      <c r="I168" s="11"/>
      <c r="J168" s="11"/>
      <c r="K168" s="26"/>
    </row>
    <row r="169" spans="2:11" s="16" customFormat="1">
      <c r="B169" s="38"/>
      <c r="C169" s="38"/>
      <c r="D169" s="11"/>
      <c r="F169" s="22"/>
      <c r="G169" s="21"/>
      <c r="H169" s="42"/>
      <c r="I169" s="11"/>
      <c r="J169" s="11"/>
      <c r="K169" s="26"/>
    </row>
    <row r="170" spans="2:11" s="16" customFormat="1">
      <c r="B170" s="38"/>
      <c r="C170" s="38"/>
      <c r="D170" s="11"/>
      <c r="F170" s="22"/>
      <c r="G170" s="21"/>
      <c r="H170" s="42"/>
      <c r="I170" s="11"/>
      <c r="J170" s="11"/>
      <c r="K170" s="26"/>
    </row>
    <row r="171" spans="2:11" s="16" customFormat="1">
      <c r="B171" s="38"/>
      <c r="C171" s="38"/>
      <c r="D171" s="11"/>
      <c r="F171" s="22"/>
      <c r="G171" s="21"/>
      <c r="H171" s="42"/>
      <c r="I171" s="11"/>
      <c r="J171" s="11"/>
      <c r="K171" s="26"/>
    </row>
    <row r="172" spans="2:11" s="16" customFormat="1">
      <c r="B172" s="38"/>
      <c r="C172" s="38"/>
      <c r="D172" s="11"/>
      <c r="F172" s="22"/>
      <c r="G172" s="21"/>
      <c r="H172" s="42"/>
      <c r="I172" s="11"/>
      <c r="J172" s="11"/>
      <c r="K172" s="26"/>
    </row>
    <row r="173" spans="2:11" s="16" customFormat="1">
      <c r="B173" s="38"/>
      <c r="C173" s="38"/>
      <c r="D173" s="11"/>
      <c r="F173" s="22"/>
      <c r="G173" s="21"/>
      <c r="H173" s="42"/>
      <c r="I173" s="11"/>
      <c r="J173" s="11"/>
      <c r="K173" s="26"/>
    </row>
    <row r="174" spans="2:11" s="16" customFormat="1">
      <c r="B174" s="38"/>
      <c r="C174" s="38"/>
      <c r="D174" s="11"/>
      <c r="F174" s="22"/>
      <c r="G174" s="21"/>
      <c r="H174" s="42"/>
      <c r="I174" s="11"/>
      <c r="J174" s="11"/>
      <c r="K174" s="26"/>
    </row>
    <row r="175" spans="2:11" s="16" customFormat="1">
      <c r="B175" s="38"/>
      <c r="C175" s="38"/>
      <c r="D175" s="11"/>
      <c r="F175" s="22"/>
      <c r="G175" s="21"/>
      <c r="H175" s="42"/>
      <c r="I175" s="11"/>
      <c r="J175" s="11"/>
      <c r="K175" s="26"/>
    </row>
    <row r="176" spans="2:11" s="16" customFormat="1">
      <c r="B176" s="38"/>
      <c r="C176" s="38"/>
      <c r="D176" s="11"/>
      <c r="F176" s="22"/>
      <c r="G176" s="21"/>
      <c r="H176" s="42"/>
      <c r="I176" s="11"/>
      <c r="J176" s="11"/>
      <c r="K176" s="26"/>
    </row>
    <row r="177" spans="2:11" s="16" customFormat="1">
      <c r="B177" s="38"/>
      <c r="C177" s="38"/>
      <c r="D177" s="11"/>
      <c r="F177" s="22"/>
      <c r="G177" s="21"/>
      <c r="H177" s="42"/>
      <c r="I177" s="11"/>
      <c r="J177" s="11"/>
      <c r="K177" s="26"/>
    </row>
    <row r="178" spans="2:11" s="16" customFormat="1">
      <c r="B178" s="38"/>
      <c r="C178" s="38"/>
      <c r="D178" s="11"/>
      <c r="F178" s="22"/>
      <c r="G178" s="21"/>
      <c r="H178" s="42"/>
      <c r="I178" s="11"/>
      <c r="J178" s="11"/>
      <c r="K178" s="26"/>
    </row>
    <row r="179" spans="2:11" s="16" customFormat="1">
      <c r="B179" s="38"/>
      <c r="C179" s="38"/>
      <c r="D179" s="11"/>
      <c r="F179" s="22"/>
      <c r="G179" s="21"/>
      <c r="H179" s="42"/>
      <c r="I179" s="11"/>
      <c r="J179" s="11"/>
      <c r="K179" s="26"/>
    </row>
    <row r="180" spans="2:11" s="16" customFormat="1">
      <c r="B180" s="38"/>
      <c r="C180" s="38"/>
      <c r="D180" s="11"/>
      <c r="F180" s="22"/>
      <c r="G180" s="21"/>
      <c r="H180" s="42"/>
      <c r="I180" s="11"/>
      <c r="J180" s="11"/>
      <c r="K180" s="26"/>
    </row>
    <row r="181" spans="2:11" s="16" customFormat="1">
      <c r="B181" s="38"/>
      <c r="C181" s="38"/>
      <c r="D181" s="11"/>
      <c r="F181" s="22"/>
      <c r="G181" s="21"/>
      <c r="H181" s="42"/>
      <c r="I181" s="11"/>
      <c r="J181" s="11"/>
      <c r="K181" s="26"/>
    </row>
    <row r="182" spans="2:11" s="16" customFormat="1">
      <c r="B182" s="38"/>
      <c r="C182" s="38"/>
      <c r="D182" s="11"/>
      <c r="F182" s="22"/>
      <c r="G182" s="21"/>
      <c r="H182" s="42"/>
      <c r="I182" s="11"/>
      <c r="J182" s="11"/>
      <c r="K182" s="26"/>
    </row>
    <row r="183" spans="2:11" s="16" customFormat="1">
      <c r="B183" s="38"/>
      <c r="C183" s="38"/>
      <c r="D183" s="11"/>
      <c r="F183" s="22"/>
      <c r="G183" s="21"/>
      <c r="H183" s="42"/>
      <c r="I183" s="11"/>
      <c r="J183" s="11"/>
      <c r="K183" s="26"/>
    </row>
    <row r="184" spans="2:11" s="16" customFormat="1">
      <c r="B184" s="38"/>
      <c r="C184" s="38"/>
      <c r="D184" s="11"/>
      <c r="F184" s="22"/>
      <c r="G184" s="21"/>
      <c r="H184" s="42"/>
      <c r="I184" s="11"/>
      <c r="J184" s="11"/>
      <c r="K184" s="26"/>
    </row>
    <row r="185" spans="2:11" s="16" customFormat="1">
      <c r="B185" s="38"/>
      <c r="C185" s="38"/>
      <c r="D185" s="11"/>
      <c r="F185" s="22"/>
      <c r="G185" s="21"/>
      <c r="H185" s="42"/>
      <c r="I185" s="11"/>
      <c r="J185" s="11"/>
      <c r="K185" s="26"/>
    </row>
    <row r="186" spans="2:11" s="16" customFormat="1">
      <c r="B186" s="38"/>
      <c r="C186" s="38"/>
      <c r="D186" s="11"/>
      <c r="F186" s="22"/>
      <c r="G186" s="21"/>
      <c r="H186" s="42"/>
      <c r="I186" s="11"/>
      <c r="J186" s="11"/>
      <c r="K186" s="26"/>
    </row>
    <row r="187" spans="2:11" s="16" customFormat="1">
      <c r="B187" s="38"/>
      <c r="C187" s="38"/>
      <c r="D187" s="11"/>
      <c r="F187" s="22"/>
      <c r="G187" s="21"/>
      <c r="H187" s="42"/>
      <c r="I187" s="11"/>
      <c r="J187" s="11"/>
      <c r="K187" s="26"/>
    </row>
    <row r="188" spans="2:11" s="16" customFormat="1">
      <c r="B188" s="38"/>
      <c r="C188" s="38"/>
      <c r="D188" s="11"/>
      <c r="F188" s="22"/>
      <c r="G188" s="21"/>
      <c r="H188" s="42"/>
      <c r="I188" s="11"/>
      <c r="J188" s="11"/>
      <c r="K188" s="26"/>
    </row>
    <row r="189" spans="2:11" s="16" customFormat="1">
      <c r="B189" s="38"/>
      <c r="C189" s="38"/>
      <c r="D189" s="11"/>
      <c r="F189" s="22"/>
      <c r="G189" s="21"/>
      <c r="H189" s="42"/>
      <c r="I189" s="11"/>
      <c r="J189" s="11"/>
      <c r="K189" s="26"/>
    </row>
    <row r="190" spans="2:11" s="16" customFormat="1">
      <c r="B190" s="38"/>
      <c r="C190" s="38"/>
      <c r="D190" s="11"/>
      <c r="F190" s="22"/>
      <c r="G190" s="21"/>
      <c r="H190" s="42"/>
      <c r="I190" s="11"/>
      <c r="J190" s="11"/>
      <c r="K190" s="26"/>
    </row>
    <row r="191" spans="2:11" s="16" customFormat="1">
      <c r="B191" s="38"/>
      <c r="C191" s="38"/>
      <c r="D191" s="11"/>
      <c r="F191" s="22"/>
      <c r="G191" s="21"/>
      <c r="H191" s="42"/>
      <c r="I191" s="11"/>
      <c r="J191" s="11"/>
      <c r="K191" s="26"/>
    </row>
    <row r="192" spans="2:11" s="16" customFormat="1">
      <c r="B192" s="38"/>
      <c r="C192" s="38"/>
      <c r="D192" s="11"/>
      <c r="F192" s="22"/>
      <c r="G192" s="21"/>
      <c r="H192" s="42"/>
      <c r="I192" s="11"/>
      <c r="J192" s="11"/>
      <c r="K192" s="26"/>
    </row>
    <row r="193" spans="2:11" s="16" customFormat="1">
      <c r="B193" s="38"/>
      <c r="C193" s="38"/>
      <c r="D193" s="11"/>
      <c r="F193" s="22"/>
      <c r="G193" s="21"/>
      <c r="H193" s="42"/>
      <c r="I193" s="11"/>
      <c r="J193" s="11"/>
      <c r="K193" s="26"/>
    </row>
    <row r="194" spans="2:11" s="16" customFormat="1">
      <c r="B194" s="38"/>
      <c r="C194" s="38"/>
      <c r="D194" s="11"/>
      <c r="F194" s="22"/>
      <c r="G194" s="21"/>
      <c r="H194" s="42"/>
      <c r="I194" s="11"/>
      <c r="J194" s="11"/>
      <c r="K194" s="26"/>
    </row>
    <row r="195" spans="2:11" s="16" customFormat="1">
      <c r="B195" s="38"/>
      <c r="C195" s="38"/>
      <c r="D195" s="11"/>
      <c r="F195" s="22"/>
      <c r="G195" s="21"/>
      <c r="H195" s="42"/>
      <c r="I195" s="11"/>
      <c r="J195" s="11"/>
      <c r="K195" s="26"/>
    </row>
    <row r="196" spans="2:11" s="16" customFormat="1">
      <c r="B196" s="38"/>
      <c r="C196" s="38"/>
      <c r="D196" s="11"/>
      <c r="F196" s="22"/>
      <c r="G196" s="21"/>
      <c r="H196" s="42"/>
      <c r="I196" s="11"/>
      <c r="J196" s="11"/>
      <c r="K196" s="26"/>
    </row>
    <row r="197" spans="2:11" s="16" customFormat="1">
      <c r="B197" s="38"/>
      <c r="C197" s="38"/>
      <c r="D197" s="11"/>
      <c r="F197" s="22"/>
      <c r="G197" s="21"/>
      <c r="H197" s="42"/>
      <c r="I197" s="11"/>
      <c r="J197" s="11"/>
      <c r="K197" s="26"/>
    </row>
    <row r="198" spans="2:11" s="16" customFormat="1">
      <c r="B198" s="38"/>
      <c r="C198" s="38"/>
      <c r="D198" s="11"/>
      <c r="F198" s="22"/>
      <c r="G198" s="21"/>
      <c r="H198" s="42"/>
      <c r="I198" s="11"/>
      <c r="J198" s="11"/>
      <c r="K198" s="26"/>
    </row>
    <row r="199" spans="2:11" s="16" customFormat="1">
      <c r="B199" s="38"/>
      <c r="C199" s="38"/>
      <c r="D199" s="11"/>
      <c r="F199" s="22"/>
      <c r="G199" s="21"/>
      <c r="H199" s="42"/>
      <c r="I199" s="11"/>
      <c r="J199" s="11"/>
      <c r="K199" s="26"/>
    </row>
    <row r="200" spans="2:11" s="16" customFormat="1">
      <c r="B200" s="38"/>
      <c r="C200" s="38"/>
      <c r="D200" s="11"/>
      <c r="F200" s="22"/>
      <c r="G200" s="21"/>
      <c r="H200" s="42"/>
      <c r="I200" s="11"/>
      <c r="J200" s="11"/>
      <c r="K200" s="26"/>
    </row>
    <row r="201" spans="2:11" s="16" customFormat="1">
      <c r="B201" s="38"/>
      <c r="C201" s="38"/>
      <c r="D201" s="11"/>
      <c r="F201" s="22"/>
      <c r="G201" s="21"/>
      <c r="H201" s="42"/>
      <c r="I201" s="11"/>
      <c r="J201" s="11"/>
      <c r="K201" s="26"/>
    </row>
    <row r="202" spans="2:11" s="16" customFormat="1">
      <c r="B202" s="38"/>
      <c r="C202" s="38"/>
      <c r="D202" s="11"/>
      <c r="F202" s="22"/>
      <c r="G202" s="21"/>
      <c r="H202" s="42"/>
      <c r="I202" s="11"/>
      <c r="J202" s="11"/>
      <c r="K202" s="26"/>
    </row>
    <row r="203" spans="2:11" s="16" customFormat="1">
      <c r="B203" s="38"/>
      <c r="C203" s="38"/>
      <c r="D203" s="11"/>
      <c r="F203" s="22"/>
      <c r="G203" s="21"/>
      <c r="H203" s="42"/>
      <c r="I203" s="11"/>
      <c r="J203" s="11"/>
      <c r="K203" s="26"/>
    </row>
    <row r="204" spans="2:11" s="16" customFormat="1">
      <c r="B204" s="38"/>
      <c r="C204" s="38"/>
      <c r="D204" s="11"/>
      <c r="F204" s="22"/>
      <c r="G204" s="21"/>
      <c r="H204" s="42"/>
      <c r="I204" s="11"/>
      <c r="J204" s="11"/>
      <c r="K204" s="26"/>
    </row>
    <row r="205" spans="2:11" s="16" customFormat="1">
      <c r="B205" s="38"/>
      <c r="C205" s="38"/>
      <c r="D205" s="11"/>
      <c r="F205" s="22"/>
      <c r="G205" s="21"/>
      <c r="H205" s="42"/>
      <c r="I205" s="11"/>
      <c r="J205" s="11"/>
      <c r="K205" s="26"/>
    </row>
    <row r="206" spans="2:11" s="16" customFormat="1">
      <c r="B206" s="38"/>
      <c r="C206" s="38"/>
      <c r="D206" s="11"/>
      <c r="F206" s="22"/>
      <c r="G206" s="21"/>
      <c r="H206" s="42"/>
      <c r="I206" s="11"/>
      <c r="J206" s="11"/>
      <c r="K206" s="26"/>
    </row>
    <row r="207" spans="2:11" s="16" customFormat="1">
      <c r="B207" s="38"/>
      <c r="C207" s="38"/>
      <c r="D207" s="11"/>
      <c r="F207" s="22"/>
      <c r="G207" s="21"/>
      <c r="H207" s="42"/>
      <c r="I207" s="11"/>
      <c r="J207" s="11"/>
      <c r="K207" s="26"/>
    </row>
    <row r="208" spans="2:11" s="16" customFormat="1">
      <c r="B208" s="38"/>
      <c r="C208" s="38"/>
      <c r="D208" s="11"/>
      <c r="F208" s="22"/>
      <c r="G208" s="21"/>
      <c r="H208" s="42"/>
      <c r="I208" s="11"/>
      <c r="J208" s="11"/>
      <c r="K208" s="26"/>
    </row>
    <row r="209" spans="2:11" s="16" customFormat="1">
      <c r="B209" s="38"/>
      <c r="C209" s="38"/>
      <c r="D209" s="11"/>
      <c r="F209" s="22"/>
      <c r="G209" s="21"/>
      <c r="H209" s="42"/>
      <c r="I209" s="11"/>
      <c r="J209" s="11"/>
      <c r="K209" s="26"/>
    </row>
    <row r="210" spans="2:11" s="16" customFormat="1">
      <c r="B210" s="38"/>
      <c r="C210" s="38"/>
      <c r="D210" s="11"/>
      <c r="F210" s="22"/>
      <c r="G210" s="21"/>
      <c r="H210" s="42"/>
      <c r="I210" s="11"/>
      <c r="J210" s="11"/>
      <c r="K210" s="26"/>
    </row>
    <row r="211" spans="2:11" s="16" customFormat="1">
      <c r="B211" s="38"/>
      <c r="C211" s="38"/>
      <c r="D211" s="11"/>
      <c r="F211" s="22"/>
      <c r="G211" s="21"/>
      <c r="H211" s="42"/>
      <c r="I211" s="11"/>
      <c r="J211" s="11"/>
      <c r="K211" s="26"/>
    </row>
    <row r="212" spans="2:11" s="16" customFormat="1">
      <c r="B212" s="38"/>
      <c r="C212" s="38"/>
      <c r="D212" s="11"/>
      <c r="F212" s="22"/>
      <c r="G212" s="21"/>
      <c r="H212" s="42"/>
      <c r="I212" s="11"/>
      <c r="J212" s="11"/>
      <c r="K212" s="26"/>
    </row>
    <row r="213" spans="2:11" s="16" customFormat="1">
      <c r="B213" s="38"/>
      <c r="C213" s="38"/>
      <c r="D213" s="11"/>
      <c r="F213" s="22"/>
      <c r="G213" s="21"/>
      <c r="H213" s="42"/>
      <c r="I213" s="11"/>
      <c r="J213" s="11"/>
      <c r="K213" s="26"/>
    </row>
    <row r="214" spans="2:11" s="16" customFormat="1">
      <c r="B214" s="38"/>
      <c r="C214" s="38"/>
      <c r="D214" s="11"/>
      <c r="F214" s="22"/>
      <c r="G214" s="21"/>
      <c r="H214" s="42"/>
      <c r="I214" s="11"/>
      <c r="J214" s="11"/>
      <c r="K214" s="26"/>
    </row>
  </sheetData>
  <sheetProtection formatCells="0" formatColumns="0" formatRows="0" insertColumns="0" insertRows="0" insertHyperlinks="0" deleteColumns="0" deleteRows="0" sort="0" autoFilter="0" pivotTables="0"/>
  <protectedRanges>
    <protectedRange sqref="B3:C3 H3" name="Range1"/>
    <protectedRange sqref="K5:L29" name="Range2"/>
    <protectedRange sqref="E10:F18 E20:F23 E25:F29 E6:F8" name="Range3"/>
  </protectedRanges>
  <mergeCells count="5">
    <mergeCell ref="B1:D2"/>
    <mergeCell ref="E1:G2"/>
    <mergeCell ref="H1:I2"/>
    <mergeCell ref="J1:L3"/>
    <mergeCell ref="E3:F3"/>
  </mergeCells>
  <conditionalFormatting sqref="J10:J13 J26:J29 J6:J8">
    <cfRule type="cellIs" dxfId="45" priority="39" operator="equal">
      <formula>"No"</formula>
    </cfRule>
    <cfRule type="cellIs" dxfId="44" priority="40" operator="equal">
      <formula>"Yes"</formula>
    </cfRule>
  </conditionalFormatting>
  <conditionalFormatting sqref="J14:J18 J25 J20:J23">
    <cfRule type="cellIs" dxfId="43" priority="35" operator="equal">
      <formula>"No"</formula>
    </cfRule>
    <cfRule type="cellIs" dxfId="42" priority="36" operator="equal">
      <formula>"Yes"</formula>
    </cfRule>
  </conditionalFormatting>
  <conditionalFormatting sqref="E6">
    <cfRule type="expression" dxfId="41" priority="47">
      <formula>$G$6&gt;=$I$6</formula>
    </cfRule>
    <cfRule type="expression" dxfId="40" priority="48">
      <formula>$G$6&lt;$I$6</formula>
    </cfRule>
  </conditionalFormatting>
  <conditionalFormatting sqref="E8">
    <cfRule type="expression" dxfId="39" priority="51">
      <formula>$G$8&gt;=$I$8</formula>
    </cfRule>
    <cfRule type="expression" dxfId="38" priority="52">
      <formula>$G$8&lt;$I$8</formula>
    </cfRule>
  </conditionalFormatting>
  <conditionalFormatting sqref="E12">
    <cfRule type="expression" dxfId="37" priority="55">
      <formula>$G$12&gt;=$I$12</formula>
    </cfRule>
    <cfRule type="expression" dxfId="36" priority="56">
      <formula>$G$12&lt;$I$12</formula>
    </cfRule>
  </conditionalFormatting>
  <conditionalFormatting sqref="E13">
    <cfRule type="expression" dxfId="35" priority="57">
      <formula>$G$13&gt;=$I$13</formula>
    </cfRule>
    <cfRule type="expression" dxfId="34" priority="58">
      <formula>$G$13&lt;$I$13</formula>
    </cfRule>
  </conditionalFormatting>
  <conditionalFormatting sqref="E14">
    <cfRule type="expression" dxfId="33" priority="59">
      <formula>$G$14&gt;=$I$14</formula>
    </cfRule>
    <cfRule type="expression" dxfId="32" priority="60">
      <formula>$G$14&lt;$I$14</formula>
    </cfRule>
  </conditionalFormatting>
  <conditionalFormatting sqref="E29">
    <cfRule type="expression" dxfId="31" priority="31">
      <formula>$G$29&gt;=$I$29</formula>
    </cfRule>
    <cfRule type="expression" dxfId="30" priority="32">
      <formula>$G$29&lt;$I$29</formula>
    </cfRule>
  </conditionalFormatting>
  <conditionalFormatting sqref="E7">
    <cfRule type="expression" dxfId="29" priority="25">
      <formula>$G$7&gt;=$I$7</formula>
    </cfRule>
    <cfRule type="expression" dxfId="28" priority="26">
      <formula>$G$7&lt;$I$7</formula>
    </cfRule>
  </conditionalFormatting>
  <conditionalFormatting sqref="E10">
    <cfRule type="expression" dxfId="27" priority="49">
      <formula>$G$10&gt;=$I$10</formula>
    </cfRule>
    <cfRule type="expression" dxfId="26" priority="50">
      <formula>$G$10&lt;$I$10</formula>
    </cfRule>
  </conditionalFormatting>
  <conditionalFormatting sqref="E15">
    <cfRule type="expression" dxfId="25" priority="29">
      <formula>$G$15&gt;=$I$15</formula>
    </cfRule>
    <cfRule type="expression" dxfId="24" priority="30">
      <formula>$G$15&lt;$I$15</formula>
    </cfRule>
  </conditionalFormatting>
  <conditionalFormatting sqref="E16">
    <cfRule type="expression" dxfId="23" priority="23">
      <formula>$G$16&gt;=$I$16</formula>
    </cfRule>
    <cfRule type="expression" dxfId="22" priority="24">
      <formula>$G$16&lt;$I$16</formula>
    </cfRule>
  </conditionalFormatting>
  <conditionalFormatting sqref="E17">
    <cfRule type="expression" dxfId="21" priority="21">
      <formula>$G$17&gt;=$I$17</formula>
    </cfRule>
    <cfRule type="expression" dxfId="20" priority="22">
      <formula>$G$17&lt;$I$17</formula>
    </cfRule>
  </conditionalFormatting>
  <conditionalFormatting sqref="E18">
    <cfRule type="expression" dxfId="19" priority="19">
      <formula>$G$18&gt;=$I$18</formula>
    </cfRule>
    <cfRule type="expression" dxfId="18" priority="20">
      <formula>$G$18&lt;$I$18</formula>
    </cfRule>
  </conditionalFormatting>
  <conditionalFormatting sqref="E11">
    <cfRule type="expression" dxfId="17" priority="17">
      <formula>$G$11&gt;=$I$11</formula>
    </cfRule>
    <cfRule type="expression" dxfId="16" priority="18">
      <formula>$G$11&lt;$I$11</formula>
    </cfRule>
  </conditionalFormatting>
  <conditionalFormatting sqref="E20">
    <cfRule type="expression" dxfId="15" priority="61">
      <formula>$G$20&gt;=$I$20</formula>
    </cfRule>
    <cfRule type="expression" dxfId="14" priority="62">
      <formula>$G$20&lt;$I$20</formula>
    </cfRule>
  </conditionalFormatting>
  <conditionalFormatting sqref="E25">
    <cfRule type="expression" dxfId="13" priority="33">
      <formula>$G$18&gt;=$I$18</formula>
    </cfRule>
    <cfRule type="expression" dxfId="12" priority="34">
      <formula>$G$18&lt;$I$18</formula>
    </cfRule>
  </conditionalFormatting>
  <conditionalFormatting sqref="E27">
    <cfRule type="expression" dxfId="11" priority="15">
      <formula>$G$27&gt;=$I$27</formula>
    </cfRule>
    <cfRule type="expression" dxfId="10" priority="16">
      <formula>$G$27&lt;$I$27</formula>
    </cfRule>
  </conditionalFormatting>
  <conditionalFormatting sqref="E28">
    <cfRule type="expression" dxfId="9" priority="13">
      <formula>$G$28&gt;=$I$28</formula>
    </cfRule>
    <cfRule type="expression" dxfId="8" priority="14">
      <formula>$G$28&lt;$I$28</formula>
    </cfRule>
  </conditionalFormatting>
  <conditionalFormatting sqref="E26">
    <cfRule type="expression" dxfId="7" priority="11">
      <formula>$G$26&gt;=$I$26</formula>
    </cfRule>
    <cfRule type="expression" dxfId="6" priority="12">
      <formula>$G$26&lt;$I$26</formula>
    </cfRule>
  </conditionalFormatting>
  <conditionalFormatting sqref="E21">
    <cfRule type="expression" dxfId="5" priority="9">
      <formula>$G$21&gt;=$I$21</formula>
    </cfRule>
    <cfRule type="expression" dxfId="4" priority="10">
      <formula>$G$21&lt;$I$21</formula>
    </cfRule>
  </conditionalFormatting>
  <conditionalFormatting sqref="E22">
    <cfRule type="expression" dxfId="3" priority="7">
      <formula>$G$22&gt;=$I$22</formula>
    </cfRule>
    <cfRule type="expression" dxfId="2" priority="8">
      <formula>$G$22&lt;$I$22</formula>
    </cfRule>
  </conditionalFormatting>
  <conditionalFormatting sqref="E23">
    <cfRule type="expression" dxfId="1" priority="5">
      <formula>$G$23&gt;=$I$23</formula>
    </cfRule>
    <cfRule type="expression" dxfId="0" priority="6">
      <formula>$G$23&lt;$I$23</formula>
    </cfRule>
  </conditionalFormatting>
  <dataValidations count="1">
    <dataValidation type="list" allowBlank="1" showInputMessage="1" showErrorMessage="1" sqref="E19">
      <formula1>#REF!</formula1>
    </dataValidation>
  </dataValidations>
  <pageMargins left="0.7" right="0.7" top="0.75" bottom="0.75" header="0.3" footer="0.3"/>
  <pageSetup scale="62" fitToHeight="4" orientation="landscape" horizontalDpi="300" verticalDpi="300" r:id="rId1"/>
  <rowBreaks count="3" manualBreakCount="3">
    <brk id="37" min="1" max="14" man="1"/>
    <brk id="48" min="1" max="14" man="1"/>
    <brk id="53" min="1" max="14" man="1"/>
  </rowBreaks>
  <extLst>
    <ext xmlns:x14="http://schemas.microsoft.com/office/spreadsheetml/2009/9/main" uri="{CCE6A557-97BC-4b89-ADB6-D9C93CAAB3DF}">
      <x14:dataValidations xmlns:xm="http://schemas.microsoft.com/office/excel/2006/main" count="10">
        <x14:dataValidation type="list" allowBlank="1" showInputMessage="1" showErrorMessage="1">
          <x14:formula1>
            <xm:f>'08. Definitions'!$M$54:$M$59</xm:f>
          </x14:formula1>
          <xm:sqref>E10:E18</xm:sqref>
        </x14:dataValidation>
        <x14:dataValidation type="list" allowBlank="1" showInputMessage="1" showErrorMessage="1">
          <x14:formula1>
            <xm:f>'08. Definitions'!$M$13:$M$17</xm:f>
          </x14:formula1>
          <xm:sqref>E8</xm:sqref>
        </x14:dataValidation>
        <x14:dataValidation type="list" allowBlank="1" showInputMessage="1" showErrorMessage="1">
          <x14:formula1>
            <xm:f>'08. Definitions'!$M$55:$M$59</xm:f>
          </x14:formula1>
          <xm:sqref>E25:E29</xm:sqref>
        </x14:dataValidation>
        <x14:dataValidation type="list" allowBlank="1" showInputMessage="1" showErrorMessage="1">
          <x14:formula1>
            <xm:f>'08. Definitions'!$M$65:$M$70</xm:f>
          </x14:formula1>
          <xm:sqref>E20</xm:sqref>
        </x14:dataValidation>
        <x14:dataValidation type="list" allowBlank="1" showInputMessage="1" showErrorMessage="1">
          <x14:formula1>
            <xm:f>'08. Definitions'!$M$117:$M$122</xm:f>
          </x14:formula1>
          <xm:sqref>E7</xm:sqref>
        </x14:dataValidation>
        <x14:dataValidation type="list" allowBlank="1" showInputMessage="1" showErrorMessage="1">
          <x14:formula1>
            <xm:f>'08. Definitions'!$M$75:$M$79</xm:f>
          </x14:formula1>
          <xm:sqref>E22</xm:sqref>
        </x14:dataValidation>
        <x14:dataValidation type="list" allowBlank="1" showInputMessage="1" showErrorMessage="1">
          <x14:formula1>
            <xm:f>'08. Definitions'!$M$12:$M$17</xm:f>
          </x14:formula1>
          <xm:sqref>E6</xm:sqref>
        </x14:dataValidation>
        <x14:dataValidation type="list" allowBlank="1" showInputMessage="1" showErrorMessage="1">
          <x14:formula1>
            <xm:f>'08. Definitions'!$M$84:$M$87</xm:f>
          </x14:formula1>
          <xm:sqref>E23</xm:sqref>
        </x14:dataValidation>
        <x14:dataValidation type="list" allowBlank="1" showInputMessage="1" showErrorMessage="1">
          <x14:formula1>
            <xm:f>'08. Definitions'!$M$108:$M$111</xm:f>
          </x14:formula1>
          <xm:sqref>E21</xm:sqref>
        </x14:dataValidation>
        <x14:dataValidation type="list" allowBlank="1" showInputMessage="1" showErrorMessage="1">
          <x14:formula1>
            <xm:f>'04. Job Descriptions'!$E$4:$J$4</xm:f>
          </x14:formula1>
          <xm:sqref>H3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C13" zoomScale="81" zoomScaleNormal="81" workbookViewId="0">
      <selection activeCell="J16" sqref="J16"/>
    </sheetView>
  </sheetViews>
  <sheetFormatPr defaultRowHeight="14.4"/>
  <cols>
    <col min="1" max="1" width="4.21875" customWidth="1"/>
    <col min="2" max="2" width="13.33203125" customWidth="1"/>
    <col min="3" max="3" width="26.88671875" style="69" customWidth="1"/>
    <col min="4" max="4" width="7.44140625" customWidth="1"/>
    <col min="6" max="6" width="17.88671875" style="52" customWidth="1"/>
    <col min="7" max="7" width="33.44140625" style="290" customWidth="1"/>
    <col min="8" max="8" width="10.77734375" style="52" customWidth="1"/>
    <col min="9" max="9" width="10" style="52" customWidth="1"/>
    <col min="10" max="10" width="132.5546875" style="53" customWidth="1"/>
  </cols>
  <sheetData>
    <row r="1" spans="1:10" ht="21">
      <c r="A1" s="407" t="s">
        <v>622</v>
      </c>
    </row>
    <row r="2" spans="1:10">
      <c r="C2"/>
      <c r="F2"/>
      <c r="G2"/>
      <c r="H2"/>
      <c r="I2"/>
      <c r="J2"/>
    </row>
    <row r="3" spans="1:10">
      <c r="B3" s="285" t="s">
        <v>81</v>
      </c>
      <c r="C3" s="66" t="s">
        <v>90</v>
      </c>
      <c r="D3" s="44" t="s">
        <v>82</v>
      </c>
      <c r="E3" s="44" t="s">
        <v>83</v>
      </c>
      <c r="F3" s="45" t="s">
        <v>84</v>
      </c>
      <c r="G3" s="288" t="s">
        <v>85</v>
      </c>
      <c r="H3" s="45" t="s">
        <v>86</v>
      </c>
      <c r="I3" s="45" t="s">
        <v>87</v>
      </c>
      <c r="J3" s="46" t="s">
        <v>88</v>
      </c>
    </row>
    <row r="4" spans="1:10" ht="20.55" customHeight="1">
      <c r="B4" s="286">
        <v>44629</v>
      </c>
      <c r="C4" s="67" t="s">
        <v>464</v>
      </c>
      <c r="D4" s="47"/>
      <c r="E4" s="47" t="s">
        <v>188</v>
      </c>
      <c r="F4" s="48" t="s">
        <v>134</v>
      </c>
      <c r="G4" s="289" t="s">
        <v>465</v>
      </c>
      <c r="H4" s="48"/>
      <c r="I4" s="48"/>
      <c r="J4" s="49" t="s">
        <v>238</v>
      </c>
    </row>
    <row r="5" spans="1:10" ht="20.55" customHeight="1">
      <c r="B5" s="286">
        <v>44630</v>
      </c>
      <c r="C5" s="67" t="s">
        <v>464</v>
      </c>
      <c r="D5" s="47"/>
      <c r="E5" s="47" t="s">
        <v>461</v>
      </c>
      <c r="F5" s="50" t="s">
        <v>134</v>
      </c>
      <c r="G5" s="289" t="s">
        <v>465</v>
      </c>
      <c r="H5" s="50"/>
      <c r="I5" s="48"/>
      <c r="J5" s="49" t="s">
        <v>460</v>
      </c>
    </row>
    <row r="6" spans="1:10" ht="19.95" customHeight="1">
      <c r="B6" s="286">
        <v>44656</v>
      </c>
      <c r="C6" s="67" t="s">
        <v>495</v>
      </c>
      <c r="D6" s="47"/>
      <c r="E6" s="47" t="s">
        <v>132</v>
      </c>
      <c r="F6" s="50" t="s">
        <v>134</v>
      </c>
      <c r="G6" s="289" t="s">
        <v>465</v>
      </c>
      <c r="H6" s="50"/>
      <c r="I6" s="48"/>
      <c r="J6" s="49" t="s">
        <v>462</v>
      </c>
    </row>
    <row r="7" spans="1:10" ht="19.95" customHeight="1">
      <c r="B7" s="286">
        <v>44706</v>
      </c>
      <c r="C7" s="67" t="s">
        <v>494</v>
      </c>
      <c r="D7" s="47"/>
      <c r="E7" s="47" t="s">
        <v>132</v>
      </c>
      <c r="F7" s="50" t="s">
        <v>134</v>
      </c>
      <c r="G7" s="289" t="s">
        <v>465</v>
      </c>
      <c r="H7" s="50"/>
      <c r="I7" s="48"/>
      <c r="J7" s="49" t="s">
        <v>496</v>
      </c>
    </row>
    <row r="8" spans="1:10" ht="41.4">
      <c r="B8" s="286">
        <v>44737</v>
      </c>
      <c r="C8" s="67" t="s">
        <v>542</v>
      </c>
      <c r="D8" s="47"/>
      <c r="E8" s="47" t="s">
        <v>132</v>
      </c>
      <c r="F8" s="50" t="s">
        <v>134</v>
      </c>
      <c r="G8" s="289" t="s">
        <v>465</v>
      </c>
      <c r="H8" s="50"/>
      <c r="I8" s="48"/>
      <c r="J8" s="56" t="s">
        <v>543</v>
      </c>
    </row>
    <row r="9" spans="1:10" ht="41.4">
      <c r="B9" s="287" t="s">
        <v>603</v>
      </c>
      <c r="C9" s="68" t="s">
        <v>602</v>
      </c>
      <c r="D9" s="51"/>
      <c r="E9" s="51" t="s">
        <v>604</v>
      </c>
      <c r="F9" s="50" t="s">
        <v>134</v>
      </c>
      <c r="G9" s="289" t="s">
        <v>465</v>
      </c>
      <c r="H9" s="50"/>
      <c r="I9" s="50"/>
      <c r="J9" s="56" t="s">
        <v>614</v>
      </c>
    </row>
    <row r="10" spans="1:10" ht="27.6">
      <c r="B10" s="371">
        <v>44867</v>
      </c>
      <c r="C10" s="68" t="s">
        <v>616</v>
      </c>
      <c r="D10" s="51"/>
      <c r="E10" s="51" t="s">
        <v>604</v>
      </c>
      <c r="F10" s="50" t="s">
        <v>134</v>
      </c>
      <c r="G10" s="289" t="s">
        <v>617</v>
      </c>
      <c r="H10" s="50"/>
      <c r="I10" s="50"/>
      <c r="J10" s="56" t="s">
        <v>618</v>
      </c>
    </row>
    <row r="11" spans="1:10" ht="138">
      <c r="B11" s="371">
        <v>44873</v>
      </c>
      <c r="C11" s="68" t="s">
        <v>619</v>
      </c>
      <c r="D11" s="51"/>
      <c r="E11" s="51" t="s">
        <v>604</v>
      </c>
      <c r="F11" s="50" t="s">
        <v>134</v>
      </c>
      <c r="G11" s="289" t="s">
        <v>617</v>
      </c>
      <c r="H11" s="50"/>
      <c r="I11" s="50"/>
      <c r="J11" s="410" t="s">
        <v>686</v>
      </c>
    </row>
    <row r="12" spans="1:10" ht="331.2">
      <c r="B12" s="371">
        <v>44985</v>
      </c>
      <c r="C12" s="68" t="s">
        <v>639</v>
      </c>
      <c r="D12" s="51"/>
      <c r="E12" s="51" t="s">
        <v>604</v>
      </c>
      <c r="F12" s="50" t="s">
        <v>134</v>
      </c>
      <c r="G12" s="56" t="s">
        <v>665</v>
      </c>
      <c r="H12" s="50"/>
      <c r="I12" s="50"/>
      <c r="J12" s="410" t="s">
        <v>670</v>
      </c>
    </row>
    <row r="13" spans="1:10" ht="20.399999999999999" customHeight="1">
      <c r="B13" s="371">
        <v>44992</v>
      </c>
      <c r="C13" s="68" t="s">
        <v>683</v>
      </c>
      <c r="D13" s="51"/>
      <c r="E13" s="51" t="s">
        <v>604</v>
      </c>
      <c r="F13" s="50" t="s">
        <v>134</v>
      </c>
      <c r="G13" s="56" t="s">
        <v>685</v>
      </c>
      <c r="H13" s="50"/>
      <c r="I13" s="50"/>
      <c r="J13" s="410" t="s">
        <v>684</v>
      </c>
    </row>
    <row r="14" spans="1:10" ht="55.2">
      <c r="B14" s="371">
        <v>44994</v>
      </c>
      <c r="C14" s="68" t="s">
        <v>690</v>
      </c>
      <c r="D14" s="51"/>
      <c r="E14" s="51" t="s">
        <v>604</v>
      </c>
      <c r="F14" s="50" t="s">
        <v>134</v>
      </c>
      <c r="G14" s="56" t="s">
        <v>692</v>
      </c>
      <c r="H14" s="50"/>
      <c r="I14" s="50"/>
      <c r="J14" s="410" t="s">
        <v>693</v>
      </c>
    </row>
    <row r="15" spans="1:10" ht="27.6">
      <c r="B15" s="371">
        <v>45000</v>
      </c>
      <c r="C15" s="68" t="s">
        <v>698</v>
      </c>
      <c r="D15" s="51"/>
      <c r="E15" s="51" t="s">
        <v>604</v>
      </c>
      <c r="F15" s="50" t="s">
        <v>134</v>
      </c>
      <c r="G15" s="56" t="s">
        <v>692</v>
      </c>
      <c r="H15" s="50"/>
      <c r="I15" s="50"/>
      <c r="J15" s="410" t="s">
        <v>699</v>
      </c>
    </row>
    <row r="16" spans="1:10">
      <c r="B16" s="287"/>
      <c r="C16" s="68"/>
      <c r="D16" s="51"/>
      <c r="E16" s="51"/>
      <c r="F16" s="50"/>
      <c r="G16" s="56"/>
      <c r="H16" s="50"/>
      <c r="I16" s="50"/>
      <c r="J16" s="56"/>
    </row>
    <row r="17" spans="2:10">
      <c r="B17" s="287"/>
      <c r="C17" s="68"/>
      <c r="D17" s="51"/>
      <c r="E17" s="51"/>
      <c r="F17" s="50"/>
      <c r="G17" s="56"/>
      <c r="H17" s="50"/>
      <c r="I17" s="50"/>
      <c r="J17" s="56"/>
    </row>
    <row r="18" spans="2:10" ht="16.05" customHeight="1">
      <c r="B18" s="287"/>
      <c r="C18" s="68"/>
      <c r="D18" s="51"/>
      <c r="E18" s="51"/>
      <c r="F18" s="50"/>
      <c r="G18" s="56"/>
      <c r="H18" s="50"/>
      <c r="I18" s="50"/>
      <c r="J18" s="56"/>
    </row>
    <row r="19" spans="2:10">
      <c r="B19" s="287"/>
      <c r="C19" s="68"/>
      <c r="D19" s="51"/>
      <c r="E19" s="51"/>
      <c r="F19" s="50"/>
      <c r="G19" s="56"/>
      <c r="H19" s="50"/>
      <c r="I19" s="50"/>
      <c r="J19" s="56"/>
    </row>
    <row r="20" spans="2:10" ht="16.5" customHeight="1">
      <c r="B20" s="287"/>
      <c r="C20" s="68"/>
      <c r="D20" s="51"/>
      <c r="E20" s="51"/>
      <c r="F20" s="50"/>
      <c r="G20" s="56"/>
      <c r="H20" s="50"/>
      <c r="I20" s="50"/>
      <c r="J20" s="56"/>
    </row>
    <row r="21" spans="2:10">
      <c r="B21" s="287"/>
      <c r="C21" s="68"/>
      <c r="D21" s="51"/>
      <c r="E21" s="51"/>
      <c r="F21" s="50"/>
      <c r="G21" s="56"/>
      <c r="H21" s="50"/>
      <c r="I21" s="50"/>
      <c r="J21" s="58"/>
    </row>
    <row r="22" spans="2:10">
      <c r="B22" s="287"/>
      <c r="C22" s="68"/>
      <c r="D22" s="51"/>
      <c r="E22" s="51"/>
      <c r="F22" s="50"/>
      <c r="G22" s="56"/>
      <c r="H22" s="50"/>
      <c r="I22" s="50"/>
      <c r="J22" s="58"/>
    </row>
    <row r="23" spans="2:10">
      <c r="B23" s="287"/>
      <c r="C23" s="68"/>
      <c r="D23" s="51"/>
      <c r="E23" s="51"/>
      <c r="F23" s="50"/>
      <c r="G23" s="56"/>
      <c r="H23" s="50"/>
      <c r="I23" s="50"/>
      <c r="J23" s="58"/>
    </row>
    <row r="24" spans="2:10">
      <c r="B24" s="287"/>
      <c r="C24" s="68"/>
      <c r="D24" s="51"/>
      <c r="E24" s="51"/>
      <c r="F24" s="50"/>
      <c r="G24" s="56"/>
      <c r="H24" s="50"/>
      <c r="I24" s="50"/>
      <c r="J24" s="58"/>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B1:F97"/>
  <sheetViews>
    <sheetView zoomScale="76" zoomScaleNormal="76" workbookViewId="0">
      <selection activeCell="F11" sqref="F11"/>
    </sheetView>
  </sheetViews>
  <sheetFormatPr defaultColWidth="8.77734375" defaultRowHeight="38.549999999999997" customHeight="1"/>
  <cols>
    <col min="1" max="1" width="2" style="203" customWidth="1"/>
    <col min="2" max="2" width="26.44140625" style="203" customWidth="1"/>
    <col min="3" max="3" width="21.33203125" style="336" customWidth="1"/>
    <col min="4" max="4" width="28.21875" style="203" customWidth="1"/>
    <col min="5" max="5" width="28.5546875" style="203" customWidth="1"/>
    <col min="6" max="6" width="160.21875" style="218" customWidth="1"/>
    <col min="7" max="16384" width="8.77734375" style="203"/>
  </cols>
  <sheetData>
    <row r="1" spans="2:6" ht="38.549999999999997" customHeight="1">
      <c r="B1" s="343" t="s">
        <v>491</v>
      </c>
      <c r="C1" s="342" t="s">
        <v>490</v>
      </c>
    </row>
    <row r="2" spans="2:6" ht="38.549999999999997" customHeight="1">
      <c r="B2" s="562" t="s">
        <v>469</v>
      </c>
      <c r="C2" s="344" t="s">
        <v>467</v>
      </c>
      <c r="D2" s="204" t="s">
        <v>373</v>
      </c>
      <c r="E2" s="206" t="s">
        <v>374</v>
      </c>
      <c r="F2" s="337" t="s">
        <v>482</v>
      </c>
    </row>
    <row r="3" spans="2:6" ht="38.549999999999997" customHeight="1">
      <c r="B3" s="563"/>
      <c r="C3" s="344" t="s">
        <v>466</v>
      </c>
      <c r="D3" s="204" t="s">
        <v>375</v>
      </c>
      <c r="E3" s="206" t="s">
        <v>320</v>
      </c>
      <c r="F3" s="338" t="s">
        <v>481</v>
      </c>
    </row>
    <row r="4" spans="2:6" ht="38.549999999999997" customHeight="1">
      <c r="B4" s="563"/>
      <c r="C4" s="344" t="s">
        <v>468</v>
      </c>
      <c r="D4" s="204" t="s">
        <v>376</v>
      </c>
      <c r="E4" s="206" t="s">
        <v>377</v>
      </c>
      <c r="F4" s="337" t="s">
        <v>480</v>
      </c>
    </row>
    <row r="5" spans="2:6" ht="38.549999999999997" customHeight="1">
      <c r="B5" s="563"/>
      <c r="C5" s="344" t="s">
        <v>470</v>
      </c>
      <c r="D5" s="204" t="s">
        <v>379</v>
      </c>
      <c r="E5" s="206" t="s">
        <v>378</v>
      </c>
      <c r="F5" s="338" t="s">
        <v>485</v>
      </c>
    </row>
    <row r="6" spans="2:6" ht="38.549999999999997" customHeight="1">
      <c r="B6" s="563"/>
      <c r="C6" s="344" t="s">
        <v>471</v>
      </c>
      <c r="D6" s="205" t="s">
        <v>252</v>
      </c>
      <c r="E6" s="206" t="s">
        <v>380</v>
      </c>
      <c r="F6" s="338" t="s">
        <v>381</v>
      </c>
    </row>
    <row r="7" spans="2:6" ht="38.549999999999997" customHeight="1">
      <c r="B7" s="563"/>
      <c r="C7" s="344" t="s">
        <v>472</v>
      </c>
      <c r="D7" s="205" t="s">
        <v>254</v>
      </c>
      <c r="E7" s="206" t="s">
        <v>323</v>
      </c>
      <c r="F7" s="338" t="s">
        <v>484</v>
      </c>
    </row>
    <row r="8" spans="2:6" ht="38.549999999999997" customHeight="1">
      <c r="B8" s="564"/>
      <c r="C8" s="344" t="s">
        <v>473</v>
      </c>
      <c r="D8" s="205" t="s">
        <v>256</v>
      </c>
      <c r="E8" s="206" t="s">
        <v>256</v>
      </c>
      <c r="F8" s="251" t="s">
        <v>382</v>
      </c>
    </row>
    <row r="9" spans="2:6" ht="38.549999999999997" customHeight="1">
      <c r="B9" s="565" t="s">
        <v>489</v>
      </c>
      <c r="C9" s="344" t="s">
        <v>474</v>
      </c>
      <c r="D9" s="205" t="s">
        <v>383</v>
      </c>
      <c r="E9" s="206" t="s">
        <v>325</v>
      </c>
      <c r="F9" s="338" t="s">
        <v>483</v>
      </c>
    </row>
    <row r="10" spans="2:6" ht="38.549999999999997" customHeight="1">
      <c r="B10" s="565"/>
      <c r="C10" s="344" t="s">
        <v>474</v>
      </c>
      <c r="D10" s="205" t="s">
        <v>257</v>
      </c>
      <c r="E10" s="207" t="s">
        <v>257</v>
      </c>
      <c r="F10" s="339" t="s">
        <v>384</v>
      </c>
    </row>
    <row r="11" spans="2:6" ht="38.549999999999997" customHeight="1">
      <c r="B11" s="565" t="s">
        <v>488</v>
      </c>
      <c r="C11" s="344" t="s">
        <v>475</v>
      </c>
      <c r="D11" s="205" t="s">
        <v>385</v>
      </c>
      <c r="E11" s="206" t="s">
        <v>386</v>
      </c>
      <c r="F11" s="338" t="s">
        <v>486</v>
      </c>
    </row>
    <row r="12" spans="2:6" ht="38.549999999999997" customHeight="1">
      <c r="B12" s="565"/>
      <c r="C12" s="344" t="s">
        <v>475</v>
      </c>
      <c r="D12" s="205" t="s">
        <v>388</v>
      </c>
      <c r="E12" s="206" t="s">
        <v>388</v>
      </c>
      <c r="F12" s="338" t="s">
        <v>387</v>
      </c>
    </row>
    <row r="13" spans="2:6" ht="38.549999999999997" customHeight="1">
      <c r="B13" s="565"/>
      <c r="C13" s="344" t="s">
        <v>476</v>
      </c>
      <c r="D13" s="205" t="s">
        <v>390</v>
      </c>
      <c r="E13" s="206" t="s">
        <v>389</v>
      </c>
      <c r="F13" s="340" t="s">
        <v>391</v>
      </c>
    </row>
    <row r="14" spans="2:6" ht="38.549999999999997" customHeight="1">
      <c r="B14" s="562" t="s">
        <v>487</v>
      </c>
      <c r="C14" s="344" t="s">
        <v>476</v>
      </c>
      <c r="D14" s="205" t="s">
        <v>392</v>
      </c>
      <c r="E14" s="206" t="s">
        <v>392</v>
      </c>
      <c r="F14" s="341" t="s">
        <v>393</v>
      </c>
    </row>
    <row r="15" spans="2:6" ht="38.549999999999997" customHeight="1">
      <c r="B15" s="563"/>
      <c r="C15" s="344" t="s">
        <v>476</v>
      </c>
      <c r="D15" s="204" t="s">
        <v>394</v>
      </c>
      <c r="E15" s="206" t="s">
        <v>394</v>
      </c>
      <c r="F15" s="339" t="s">
        <v>395</v>
      </c>
    </row>
    <row r="16" spans="2:6" ht="38.549999999999997" customHeight="1">
      <c r="B16" s="564"/>
      <c r="C16" s="344" t="s">
        <v>476</v>
      </c>
      <c r="D16" s="205" t="s">
        <v>396</v>
      </c>
      <c r="E16" s="207" t="s">
        <v>396</v>
      </c>
      <c r="F16" s="339" t="s">
        <v>397</v>
      </c>
    </row>
    <row r="17" spans="2:6" ht="38.549999999999997" customHeight="1">
      <c r="B17" s="209" t="s">
        <v>192</v>
      </c>
      <c r="C17" s="344" t="s">
        <v>477</v>
      </c>
      <c r="D17" s="208" t="s">
        <v>180</v>
      </c>
      <c r="E17" s="307" t="s">
        <v>399</v>
      </c>
      <c r="F17" s="217" t="s">
        <v>398</v>
      </c>
    </row>
    <row r="18" spans="2:6" ht="38.549999999999997" customHeight="1">
      <c r="B18" s="566" t="s">
        <v>193</v>
      </c>
      <c r="C18" s="559" t="s">
        <v>478</v>
      </c>
      <c r="D18" s="210" t="s">
        <v>194</v>
      </c>
      <c r="E18" s="215" t="s">
        <v>194</v>
      </c>
      <c r="F18" s="217" t="s">
        <v>195</v>
      </c>
    </row>
    <row r="19" spans="2:6" ht="38.549999999999997" customHeight="1">
      <c r="B19" s="567"/>
      <c r="C19" s="560"/>
      <c r="D19" s="211" t="s">
        <v>196</v>
      </c>
      <c r="E19" s="216" t="s">
        <v>197</v>
      </c>
      <c r="F19" s="217" t="s">
        <v>198</v>
      </c>
    </row>
    <row r="20" spans="2:6" ht="38.549999999999997" customHeight="1">
      <c r="B20" s="567"/>
      <c r="C20" s="560"/>
      <c r="D20" s="212" t="s">
        <v>199</v>
      </c>
      <c r="E20" s="216" t="s">
        <v>200</v>
      </c>
      <c r="F20" s="217" t="s">
        <v>201</v>
      </c>
    </row>
    <row r="21" spans="2:6" ht="38.549999999999997" customHeight="1">
      <c r="B21" s="567"/>
      <c r="C21" s="560"/>
      <c r="D21" s="213" t="s">
        <v>202</v>
      </c>
      <c r="E21" s="216" t="s">
        <v>202</v>
      </c>
      <c r="F21" s="339" t="s">
        <v>203</v>
      </c>
    </row>
    <row r="22" spans="2:6" ht="38.549999999999997" customHeight="1">
      <c r="B22" s="567"/>
      <c r="C22" s="560"/>
      <c r="D22" s="212" t="s">
        <v>204</v>
      </c>
      <c r="E22" s="216" t="s">
        <v>204</v>
      </c>
      <c r="F22" s="339" t="s">
        <v>205</v>
      </c>
    </row>
    <row r="23" spans="2:6" ht="38.549999999999997" customHeight="1">
      <c r="B23" s="568"/>
      <c r="C23" s="561"/>
      <c r="D23" s="213" t="s">
        <v>206</v>
      </c>
      <c r="E23" s="216" t="s">
        <v>206</v>
      </c>
      <c r="F23" s="339" t="s">
        <v>207</v>
      </c>
    </row>
    <row r="24" spans="2:6" ht="38.549999999999997" customHeight="1">
      <c r="B24" s="214" t="s">
        <v>208</v>
      </c>
      <c r="C24" s="345" t="s">
        <v>479</v>
      </c>
      <c r="D24" s="210" t="s">
        <v>93</v>
      </c>
      <c r="E24" s="216" t="s">
        <v>209</v>
      </c>
      <c r="F24" s="217" t="s">
        <v>210</v>
      </c>
    </row>
    <row r="27" spans="2:6" ht="38.549999999999997" customHeight="1">
      <c r="B27" s="308" t="s">
        <v>400</v>
      </c>
      <c r="C27" s="323"/>
      <c r="D27" s="308"/>
      <c r="E27" s="309"/>
    </row>
    <row r="28" spans="2:6" ht="38.549999999999997" customHeight="1">
      <c r="B28" s="308"/>
      <c r="C28" s="323"/>
      <c r="D28" s="308"/>
      <c r="E28" s="309"/>
    </row>
    <row r="29" spans="2:6" ht="38.549999999999997" customHeight="1">
      <c r="B29" s="556" t="s">
        <v>401</v>
      </c>
      <c r="C29" s="556"/>
      <c r="D29" s="556"/>
      <c r="E29" s="556"/>
    </row>
    <row r="30" spans="2:6" ht="38.549999999999997" customHeight="1">
      <c r="B30" s="555" t="s">
        <v>402</v>
      </c>
      <c r="C30" s="555"/>
      <c r="D30" s="557"/>
      <c r="E30" s="557"/>
    </row>
    <row r="31" spans="2:6" ht="38.549999999999997" customHeight="1">
      <c r="B31" s="558" t="s">
        <v>403</v>
      </c>
      <c r="C31" s="558"/>
      <c r="D31" s="558"/>
      <c r="E31" s="558"/>
    </row>
    <row r="32" spans="2:6" ht="38.549999999999997" customHeight="1">
      <c r="B32" s="556" t="s">
        <v>404</v>
      </c>
      <c r="C32" s="556"/>
      <c r="D32" s="557"/>
      <c r="E32" s="557"/>
    </row>
    <row r="33" spans="2:5" ht="38.549999999999997" customHeight="1">
      <c r="B33" s="555" t="s">
        <v>405</v>
      </c>
      <c r="C33" s="555"/>
      <c r="D33" s="557"/>
      <c r="E33" s="557"/>
    </row>
    <row r="34" spans="2:5" ht="38.549999999999997" customHeight="1">
      <c r="B34" s="555" t="s">
        <v>406</v>
      </c>
      <c r="C34" s="555"/>
      <c r="D34" s="557"/>
      <c r="E34" s="557"/>
    </row>
    <row r="35" spans="2:5" ht="38.549999999999997" customHeight="1">
      <c r="B35" s="555" t="s">
        <v>407</v>
      </c>
      <c r="C35" s="555"/>
      <c r="D35" s="555"/>
      <c r="E35" s="555"/>
    </row>
    <row r="36" spans="2:5" ht="38.549999999999997" customHeight="1">
      <c r="B36" s="555" t="s">
        <v>408</v>
      </c>
      <c r="C36" s="555"/>
      <c r="D36" s="555"/>
      <c r="E36" s="555"/>
    </row>
    <row r="37" spans="2:5" ht="38.549999999999997" customHeight="1">
      <c r="B37" s="548" t="s">
        <v>409</v>
      </c>
      <c r="C37" s="548"/>
      <c r="D37" s="548"/>
      <c r="E37" s="548"/>
    </row>
    <row r="38" spans="2:5" ht="38.549999999999997" customHeight="1">
      <c r="B38" s="310"/>
      <c r="C38" s="324"/>
      <c r="D38" s="310"/>
      <c r="E38" s="310"/>
    </row>
    <row r="39" spans="2:5" ht="38.549999999999997" customHeight="1">
      <c r="B39" s="308" t="s">
        <v>410</v>
      </c>
      <c r="C39" s="323"/>
      <c r="D39" s="308"/>
      <c r="E39" s="308"/>
    </row>
    <row r="40" spans="2:5" ht="38.549999999999997" customHeight="1">
      <c r="B40" s="308"/>
      <c r="C40" s="323"/>
      <c r="D40" s="308"/>
      <c r="E40" s="308"/>
    </row>
    <row r="41" spans="2:5" ht="38.549999999999997" customHeight="1">
      <c r="B41" s="555" t="s">
        <v>411</v>
      </c>
      <c r="C41" s="555"/>
      <c r="D41" s="555"/>
      <c r="E41" s="555"/>
    </row>
    <row r="42" spans="2:5" ht="38.549999999999997" customHeight="1">
      <c r="B42" s="555" t="s">
        <v>412</v>
      </c>
      <c r="C42" s="555"/>
      <c r="D42" s="555"/>
      <c r="E42" s="555"/>
    </row>
    <row r="43" spans="2:5" ht="38.549999999999997" customHeight="1">
      <c r="B43" s="555" t="s">
        <v>413</v>
      </c>
      <c r="C43" s="555"/>
      <c r="D43" s="555"/>
      <c r="E43" s="555"/>
    </row>
    <row r="44" spans="2:5" ht="38.549999999999997" customHeight="1">
      <c r="B44" s="556" t="s">
        <v>414</v>
      </c>
      <c r="C44" s="556"/>
      <c r="D44" s="555"/>
      <c r="E44" s="555"/>
    </row>
    <row r="45" spans="2:5" ht="38.549999999999997" customHeight="1">
      <c r="B45" s="555" t="s">
        <v>415</v>
      </c>
      <c r="C45" s="555"/>
      <c r="D45" s="555"/>
      <c r="E45" s="555"/>
    </row>
    <row r="46" spans="2:5" ht="38.549999999999997" customHeight="1">
      <c r="B46" s="555" t="s">
        <v>416</v>
      </c>
      <c r="C46" s="555"/>
      <c r="D46" s="555"/>
      <c r="E46" s="555"/>
    </row>
    <row r="47" spans="2:5" ht="38.549999999999997" customHeight="1">
      <c r="B47" s="548" t="s">
        <v>409</v>
      </c>
      <c r="C47" s="548"/>
      <c r="D47" s="548"/>
      <c r="E47" s="548"/>
    </row>
    <row r="48" spans="2:5" ht="38.549999999999997" customHeight="1">
      <c r="B48" s="311"/>
      <c r="C48" s="325"/>
      <c r="D48" s="311"/>
      <c r="E48" s="311"/>
    </row>
    <row r="49" spans="2:5" ht="38.549999999999997" customHeight="1">
      <c r="B49" s="308" t="s">
        <v>417</v>
      </c>
      <c r="C49" s="323"/>
      <c r="D49" s="308"/>
      <c r="E49" s="312"/>
    </row>
    <row r="50" spans="2:5" ht="38.549999999999997" customHeight="1">
      <c r="B50" s="308"/>
      <c r="C50" s="323"/>
      <c r="D50" s="308"/>
      <c r="E50" s="312"/>
    </row>
    <row r="51" spans="2:5" ht="38.549999999999997" customHeight="1">
      <c r="B51" s="549" t="s">
        <v>418</v>
      </c>
      <c r="C51" s="550"/>
      <c r="D51" s="550"/>
      <c r="E51" s="551"/>
    </row>
    <row r="52" spans="2:5" ht="38.549999999999997" customHeight="1">
      <c r="B52" s="552" t="s">
        <v>419</v>
      </c>
      <c r="C52" s="553"/>
      <c r="D52" s="553"/>
      <c r="E52" s="554" t="s">
        <v>420</v>
      </c>
    </row>
    <row r="53" spans="2:5" ht="38.549999999999997" customHeight="1">
      <c r="B53" s="543" t="s">
        <v>421</v>
      </c>
      <c r="C53" s="544"/>
      <c r="D53" s="544"/>
      <c r="E53" s="545" t="s">
        <v>420</v>
      </c>
    </row>
    <row r="54" spans="2:5" ht="38.549999999999997" customHeight="1">
      <c r="B54" s="308"/>
      <c r="C54" s="323"/>
      <c r="D54" s="308"/>
      <c r="E54" s="312"/>
    </row>
    <row r="55" spans="2:5" ht="38.549999999999997" customHeight="1">
      <c r="B55" s="308" t="s">
        <v>422</v>
      </c>
      <c r="C55" s="323"/>
      <c r="D55" s="308"/>
      <c r="E55" s="312"/>
    </row>
    <row r="56" spans="2:5" ht="38.549999999999997" customHeight="1">
      <c r="B56" s="543" t="s">
        <v>423</v>
      </c>
      <c r="C56" s="544"/>
      <c r="D56" s="544"/>
      <c r="E56" s="545" t="s">
        <v>424</v>
      </c>
    </row>
    <row r="57" spans="2:5" ht="38.549999999999997" customHeight="1">
      <c r="B57" s="543" t="s">
        <v>425</v>
      </c>
      <c r="C57" s="544"/>
      <c r="D57" s="544"/>
      <c r="E57" s="545" t="s">
        <v>424</v>
      </c>
    </row>
    <row r="58" spans="2:5" ht="38.549999999999997" customHeight="1">
      <c r="B58" s="543" t="s">
        <v>426</v>
      </c>
      <c r="C58" s="544"/>
      <c r="D58" s="544"/>
      <c r="E58" s="545" t="s">
        <v>424</v>
      </c>
    </row>
    <row r="59" spans="2:5" ht="38.549999999999997" customHeight="1">
      <c r="B59" s="543" t="s">
        <v>427</v>
      </c>
      <c r="C59" s="544"/>
      <c r="D59" s="544"/>
      <c r="E59" s="545"/>
    </row>
    <row r="60" spans="2:5" ht="38.549999999999997" customHeight="1">
      <c r="B60" s="313"/>
      <c r="C60" s="326"/>
      <c r="D60" s="313"/>
      <c r="E60" s="313"/>
    </row>
    <row r="61" spans="2:5" ht="38.549999999999997" customHeight="1">
      <c r="B61" s="314" t="s">
        <v>428</v>
      </c>
      <c r="C61" s="327"/>
      <c r="D61" s="314"/>
      <c r="E61" s="315"/>
    </row>
    <row r="62" spans="2:5" ht="38.549999999999997" customHeight="1">
      <c r="B62" s="314"/>
      <c r="C62" s="327"/>
      <c r="D62" s="314"/>
      <c r="E62" s="315"/>
    </row>
    <row r="63" spans="2:5" ht="38.549999999999997" customHeight="1">
      <c r="B63" s="316" t="s">
        <v>221</v>
      </c>
      <c r="C63" s="328"/>
      <c r="D63" s="546" t="s">
        <v>88</v>
      </c>
      <c r="E63" s="547"/>
    </row>
    <row r="64" spans="2:5" ht="38.549999999999997" customHeight="1">
      <c r="B64" s="295" t="s">
        <v>429</v>
      </c>
      <c r="C64" s="329"/>
      <c r="D64" s="535" t="s">
        <v>430</v>
      </c>
      <c r="E64" s="536"/>
    </row>
    <row r="65" spans="2:5" ht="38.549999999999997" customHeight="1">
      <c r="B65" s="295" t="s">
        <v>271</v>
      </c>
      <c r="C65" s="329"/>
      <c r="D65" s="535" t="s">
        <v>431</v>
      </c>
      <c r="E65" s="536"/>
    </row>
    <row r="66" spans="2:5" ht="38.549999999999997" customHeight="1">
      <c r="B66"/>
      <c r="C66" s="330"/>
      <c r="D66"/>
      <c r="E66" s="315"/>
    </row>
    <row r="67" spans="2:5" ht="38.549999999999997" customHeight="1">
      <c r="B67" s="314" t="s">
        <v>432</v>
      </c>
      <c r="C67" s="327"/>
      <c r="D67" s="314"/>
      <c r="E67" s="315"/>
    </row>
    <row r="68" spans="2:5" ht="38.549999999999997" customHeight="1">
      <c r="B68" s="317"/>
      <c r="C68" s="331"/>
      <c r="D68" s="317"/>
      <c r="E68" s="317"/>
    </row>
    <row r="69" spans="2:5" ht="38.549999999999997" customHeight="1">
      <c r="B69" s="537" t="s">
        <v>433</v>
      </c>
      <c r="C69" s="538"/>
      <c r="D69" s="538"/>
      <c r="E69" s="539"/>
    </row>
    <row r="70" spans="2:5" ht="38.549999999999997" customHeight="1">
      <c r="B70" s="540" t="s">
        <v>434</v>
      </c>
      <c r="C70" s="541"/>
      <c r="D70" s="538"/>
      <c r="E70" s="539"/>
    </row>
    <row r="71" spans="2:5" ht="38.549999999999997" customHeight="1">
      <c r="B71" s="542" t="s">
        <v>435</v>
      </c>
      <c r="C71" s="542"/>
      <c r="D71" s="542"/>
      <c r="E71" s="542"/>
    </row>
    <row r="72" spans="2:5" ht="38.549999999999997" customHeight="1">
      <c r="B72" s="318"/>
      <c r="C72" s="332"/>
      <c r="D72" s="318"/>
      <c r="E72" s="318"/>
    </row>
    <row r="73" spans="2:5" ht="38.549999999999997" customHeight="1">
      <c r="B73" s="314" t="s">
        <v>436</v>
      </c>
      <c r="C73" s="327"/>
      <c r="D73" s="314"/>
      <c r="E73" s="315"/>
    </row>
    <row r="74" spans="2:5" ht="38.549999999999997" customHeight="1">
      <c r="B74" s="319"/>
      <c r="C74" s="333"/>
      <c r="D74" s="319"/>
      <c r="E74" s="315"/>
    </row>
    <row r="75" spans="2:5" ht="38.549999999999997" customHeight="1">
      <c r="B75" s="534" t="s">
        <v>437</v>
      </c>
      <c r="C75" s="534"/>
      <c r="D75" s="532"/>
      <c r="E75" s="532"/>
    </row>
    <row r="76" spans="2:5" ht="38.549999999999997" customHeight="1">
      <c r="B76" s="534" t="s">
        <v>438</v>
      </c>
      <c r="C76" s="534"/>
      <c r="D76" s="532"/>
      <c r="E76" s="532"/>
    </row>
    <row r="77" spans="2:5" ht="38.549999999999997" customHeight="1">
      <c r="B77" s="534" t="s">
        <v>439</v>
      </c>
      <c r="C77" s="534"/>
      <c r="D77" s="532"/>
      <c r="E77" s="532"/>
    </row>
    <row r="78" spans="2:5" ht="38.549999999999997" customHeight="1">
      <c r="B78" s="320"/>
      <c r="C78" s="334"/>
      <c r="D78" s="320"/>
      <c r="E78" s="320"/>
    </row>
    <row r="79" spans="2:5" ht="38.549999999999997" customHeight="1">
      <c r="B79" s="314" t="s">
        <v>440</v>
      </c>
      <c r="C79" s="327"/>
      <c r="D79" s="320"/>
      <c r="E79" s="320"/>
    </row>
    <row r="80" spans="2:5" ht="38.549999999999997" customHeight="1">
      <c r="B80" s="532" t="s">
        <v>441</v>
      </c>
      <c r="C80" s="532"/>
      <c r="D80" s="532"/>
      <c r="E80" s="532"/>
    </row>
    <row r="81" spans="2:5" ht="38.549999999999997" customHeight="1">
      <c r="B81" s="532" t="s">
        <v>442</v>
      </c>
      <c r="C81" s="532"/>
      <c r="D81" s="532"/>
      <c r="E81" s="532"/>
    </row>
    <row r="82" spans="2:5" ht="38.549999999999997" customHeight="1">
      <c r="B82" s="532" t="s">
        <v>443</v>
      </c>
      <c r="C82" s="532"/>
      <c r="D82" s="532"/>
      <c r="E82" s="532"/>
    </row>
    <row r="83" spans="2:5" ht="38.549999999999997" customHeight="1">
      <c r="B83" s="532" t="s">
        <v>444</v>
      </c>
      <c r="C83" s="532"/>
      <c r="D83" s="532"/>
      <c r="E83" s="532"/>
    </row>
    <row r="84" spans="2:5" ht="38.549999999999997" customHeight="1">
      <c r="B84" s="532" t="s">
        <v>445</v>
      </c>
      <c r="C84" s="532"/>
      <c r="D84" s="532"/>
      <c r="E84" s="532"/>
    </row>
    <row r="85" spans="2:5" ht="38.549999999999997" customHeight="1">
      <c r="B85" s="320"/>
      <c r="C85" s="334"/>
      <c r="D85" s="320"/>
      <c r="E85" s="320"/>
    </row>
    <row r="86" spans="2:5" ht="38.549999999999997" customHeight="1">
      <c r="B86" s="320"/>
      <c r="C86" s="334"/>
      <c r="D86" s="320"/>
      <c r="E86" s="320"/>
    </row>
    <row r="87" spans="2:5" ht="38.549999999999997" customHeight="1">
      <c r="B87" s="314" t="s">
        <v>446</v>
      </c>
      <c r="C87" s="327"/>
      <c r="D87" s="314"/>
      <c r="E87" s="321"/>
    </row>
    <row r="88" spans="2:5" ht="38.549999999999997" customHeight="1">
      <c r="B88" s="533" t="s">
        <v>447</v>
      </c>
      <c r="C88" s="533"/>
      <c r="D88" s="533"/>
      <c r="E88" s="533"/>
    </row>
    <row r="89" spans="2:5" ht="38.549999999999997" customHeight="1">
      <c r="B89" s="531" t="s">
        <v>448</v>
      </c>
      <c r="C89" s="531"/>
      <c r="D89" s="531"/>
      <c r="E89" s="531"/>
    </row>
    <row r="90" spans="2:5" ht="38.549999999999997" customHeight="1">
      <c r="B90" s="531" t="s">
        <v>449</v>
      </c>
      <c r="C90" s="531"/>
      <c r="D90" s="531"/>
      <c r="E90" s="531"/>
    </row>
    <row r="91" spans="2:5" ht="38.549999999999997" customHeight="1">
      <c r="B91" s="531" t="s">
        <v>450</v>
      </c>
      <c r="C91" s="531"/>
      <c r="D91" s="531"/>
      <c r="E91" s="531"/>
    </row>
    <row r="92" spans="2:5" ht="38.549999999999997" customHeight="1">
      <c r="B92" s="531" t="s">
        <v>451</v>
      </c>
      <c r="C92" s="531"/>
      <c r="D92" s="531"/>
      <c r="E92" s="531"/>
    </row>
    <row r="93" spans="2:5" ht="38.549999999999997" customHeight="1">
      <c r="B93" s="531" t="s">
        <v>452</v>
      </c>
      <c r="C93" s="531"/>
      <c r="D93" s="531"/>
      <c r="E93" s="531"/>
    </row>
    <row r="94" spans="2:5" ht="38.549999999999997" customHeight="1">
      <c r="B94" s="531" t="s">
        <v>453</v>
      </c>
      <c r="C94" s="531"/>
      <c r="D94" s="531"/>
      <c r="E94" s="531"/>
    </row>
    <row r="95" spans="2:5" ht="38.549999999999997" customHeight="1">
      <c r="B95" s="531" t="s">
        <v>454</v>
      </c>
      <c r="C95" s="531"/>
      <c r="D95" s="531"/>
      <c r="E95" s="531"/>
    </row>
    <row r="96" spans="2:5" ht="38.549999999999997" customHeight="1">
      <c r="B96" s="531" t="s">
        <v>455</v>
      </c>
      <c r="C96" s="531"/>
      <c r="D96" s="531"/>
      <c r="E96" s="531"/>
    </row>
    <row r="97" spans="2:5" ht="38.549999999999997" customHeight="1">
      <c r="B97" s="321"/>
      <c r="C97" s="335"/>
      <c r="D97" s="321"/>
      <c r="E97" s="321"/>
    </row>
  </sheetData>
  <sheetProtection formatCells="0" formatColumns="0" formatRows="0" insertColumns="0" insertRows="0" insertHyperlinks="0" deleteColumns="0" deleteRows="0" sort="0" autoFilter="0" pivotTables="0"/>
  <mergeCells count="52">
    <mergeCell ref="C18:C23"/>
    <mergeCell ref="B14:B16"/>
    <mergeCell ref="B11:B13"/>
    <mergeCell ref="B9:B10"/>
    <mergeCell ref="B2:B8"/>
    <mergeCell ref="B18:B23"/>
    <mergeCell ref="B29:E29"/>
    <mergeCell ref="B30:E30"/>
    <mergeCell ref="B31:E31"/>
    <mergeCell ref="B32:E32"/>
    <mergeCell ref="B33:E33"/>
    <mergeCell ref="B34:E34"/>
    <mergeCell ref="B35:E35"/>
    <mergeCell ref="B36:E36"/>
    <mergeCell ref="B37:E37"/>
    <mergeCell ref="B41:E41"/>
    <mergeCell ref="B42:E42"/>
    <mergeCell ref="B43:E43"/>
    <mergeCell ref="B44:E44"/>
    <mergeCell ref="B45:E45"/>
    <mergeCell ref="B46:E46"/>
    <mergeCell ref="B47:E47"/>
    <mergeCell ref="B51:E51"/>
    <mergeCell ref="B52:E52"/>
    <mergeCell ref="B53:E53"/>
    <mergeCell ref="B56:E56"/>
    <mergeCell ref="B57:E57"/>
    <mergeCell ref="B58:E58"/>
    <mergeCell ref="B59:E59"/>
    <mergeCell ref="D63:E63"/>
    <mergeCell ref="D64:E64"/>
    <mergeCell ref="D65:E65"/>
    <mergeCell ref="B69:E69"/>
    <mergeCell ref="B70:E70"/>
    <mergeCell ref="B71:E71"/>
    <mergeCell ref="B75:E75"/>
    <mergeCell ref="B76:E76"/>
    <mergeCell ref="B77:E77"/>
    <mergeCell ref="B80:E80"/>
    <mergeCell ref="B81:E81"/>
    <mergeCell ref="B82:E82"/>
    <mergeCell ref="B83:E83"/>
    <mergeCell ref="B84:E84"/>
    <mergeCell ref="B88:E88"/>
    <mergeCell ref="B89:E89"/>
    <mergeCell ref="B90:E90"/>
    <mergeCell ref="B96:E96"/>
    <mergeCell ref="B91:E91"/>
    <mergeCell ref="B92:E92"/>
    <mergeCell ref="B93:E93"/>
    <mergeCell ref="B94:E94"/>
    <mergeCell ref="B95:E95"/>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Cover</vt:lpstr>
      <vt:lpstr>Table of Content</vt:lpstr>
      <vt:lpstr>01. Guidelines</vt:lpstr>
      <vt:lpstr>02. Models</vt:lpstr>
      <vt:lpstr>03. Career Paths</vt:lpstr>
      <vt:lpstr>04. Job Descriptions</vt:lpstr>
      <vt:lpstr>05. Job Rankings</vt:lpstr>
      <vt:lpstr>06. Assessment Summary</vt:lpstr>
      <vt:lpstr>07. Roles &amp; Responsibilities</vt:lpstr>
      <vt:lpstr>08. Definitions</vt:lpstr>
      <vt:lpstr>09. Career Development</vt:lpstr>
      <vt:lpstr>10. Job Interview</vt:lpstr>
      <vt:lpstr>09. Record of Change</vt:lpstr>
      <vt:lpstr>Explanation of Skills</vt:lpstr>
      <vt:lpstr>'05. Job Rankings'!Print_Area</vt:lpstr>
      <vt:lpstr>'06. Assessment Summary'!Print_Area</vt:lpstr>
      <vt:lpstr>'10. Job Interview'!Print_Area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thuongtnh@fsoft.com.vn</dc:creator>
  <cp:keywords>http:/www.sefix.org/SkillsMethodologies.htm</cp:keywords>
  <cp:lastModifiedBy>Alex Khang</cp:lastModifiedBy>
  <cp:lastPrinted>2021-09-30T14:07:09Z</cp:lastPrinted>
  <dcterms:created xsi:type="dcterms:W3CDTF">2020-01-20T03:12:34Z</dcterms:created>
  <dcterms:modified xsi:type="dcterms:W3CDTF">2023-03-15T08:23:11Z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3546c70c-4546-4626-a587-c68b68e33f81</vt:lpwstr>
  </property>
</Properties>
</file>