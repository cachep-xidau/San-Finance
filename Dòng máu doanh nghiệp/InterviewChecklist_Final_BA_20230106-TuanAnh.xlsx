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24226"/>
  <bookViews>
    <workbookView xWindow="0" yWindow="0" windowWidth="20910" windowHeight="7470" firstSheet="1" activeTab="2"/>
  </bookViews>
  <sheets>
    <sheet name="Senior" sheetId="1" state="hidden" r:id="rId1"/>
    <sheet name="Guideline" sheetId="13" r:id="rId2"/>
    <sheet name="InterviewCheckList" sheetId="4" r:id="rId3"/>
    <sheet name="Sheet2" sheetId="23" r:id="rId4"/>
    <sheet name="Interview Bank" sheetId="14" r:id="rId5"/>
    <sheet name="Reference" sheetId="2" r:id="rId6"/>
  </sheets>
  <definedNames>
    <definedName name="_xlnm._FilterDatabase" localSheetId="4" hidden="1">'Interview Bank'!$A$1:$E$63</definedName>
    <definedName name="_xlnm._FilterDatabase" localSheetId="2" hidden="1">InterviewCheckList!#REF!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P29" i="4" l="1"/>
  <c r="AP30" i="4"/>
  <c r="AP32" i="4" l="1"/>
  <c r="AO34" i="4" l="1"/>
  <c r="AN34" i="4"/>
  <c r="AM34" i="4"/>
  <c r="AL34" i="4"/>
  <c r="AK34" i="4"/>
  <c r="AJ34" i="4"/>
  <c r="AP27" i="4" l="1"/>
  <c r="AP26" i="4"/>
  <c r="AP25" i="4"/>
  <c r="AP31" i="4"/>
  <c r="AP28" i="4"/>
  <c r="AP14" i="4"/>
  <c r="AP23" i="4"/>
  <c r="AP22" i="4"/>
  <c r="AP17" i="4"/>
  <c r="AP24" i="4" l="1"/>
  <c r="AP21" i="4"/>
  <c r="AP20" i="4"/>
  <c r="AP19" i="4"/>
  <c r="AP18" i="4"/>
  <c r="AP16" i="4"/>
  <c r="AP15" i="4"/>
  <c r="AI33" i="4" l="1"/>
  <c r="AI34" i="4" s="1"/>
  <c r="E1" i="1"/>
  <c r="E9" i="1"/>
  <c r="E8" i="1"/>
  <c r="E7" i="1"/>
  <c r="E6" i="1"/>
  <c r="E21" i="1"/>
  <c r="E20" i="1"/>
  <c r="E16" i="1"/>
  <c r="E19" i="1"/>
  <c r="G26" i="1" l="1"/>
  <c r="E17" i="1"/>
  <c r="E18" i="1"/>
  <c r="E11" i="1"/>
  <c r="G11" i="1" s="1"/>
  <c r="E14" i="1" l="1"/>
  <c r="G14" i="1" s="1"/>
  <c r="F28" i="1" l="1"/>
  <c r="G6" i="1" l="1"/>
  <c r="G12" i="1"/>
  <c r="G22" i="1"/>
  <c r="G23" i="1"/>
  <c r="G24" i="1"/>
  <c r="G25" i="1"/>
  <c r="G27" i="1"/>
  <c r="E13" i="1"/>
  <c r="E10" i="1"/>
  <c r="G10" i="1" s="1"/>
  <c r="G13" i="1" l="1"/>
  <c r="E28" i="1"/>
  <c r="E29" i="1" s="1"/>
</calcChain>
</file>

<file path=xl/comments1.xml><?xml version="1.0" encoding="utf-8"?>
<comments xmlns="http://schemas.openxmlformats.org/spreadsheetml/2006/main">
  <authors>
    <author>Author</author>
  </authors>
  <commentList>
    <comment ref="H4" authorId="0" shapeId="0">
      <text>
        <r>
          <rPr>
            <b/>
            <sz val="9"/>
            <color indexed="81"/>
            <rFont val="Tahoma"/>
            <family val="2"/>
          </rPr>
          <t>Guideline: Ghi rõ vị trí ứng tuyển của ứng viên ( ví dụ DEV1, dev2)</t>
        </r>
        <r>
          <rPr>
            <sz val="9"/>
            <color indexed="81"/>
            <rFont val="Tahoma"/>
            <family val="2"/>
          </rPr>
          <t xml:space="preserve">
</t>
        </r>
      </text>
    </comment>
    <comment ref="B28" authorId="0" shapeId="0">
      <text>
        <r>
          <rPr>
            <b/>
            <sz val="9"/>
            <color indexed="81"/>
            <rFont val="Tahoma"/>
            <family val="2"/>
          </rPr>
          <t>Author:</t>
        </r>
        <r>
          <rPr>
            <sz val="9"/>
            <color indexed="81"/>
            <rFont val="Tahoma"/>
            <family val="2"/>
          </rPr>
          <t xml:space="preserve">
Trong trường hợp cần 2 ngôn ngữ thì có dấu + bên lề trái, click vào đó sẽ ra ngôn ngữ thứ 2; </t>
        </r>
      </text>
    </comment>
  </commentList>
</comments>
</file>

<file path=xl/sharedStrings.xml><?xml version="1.0" encoding="utf-8"?>
<sst xmlns="http://schemas.openxmlformats.org/spreadsheetml/2006/main" count="425" uniqueCount="284">
  <si>
    <t>Anh, chị Interviewer vui lòng fill thông tin vào các ô  màu xanh lá cây</t>
    <phoneticPr fontId="17"/>
  </si>
  <si>
    <t>INTERVIEW CHECK LIST</t>
    <phoneticPr fontId="17"/>
  </si>
  <si>
    <t>Candidate name</t>
  </si>
  <si>
    <t>Interviewer name</t>
  </si>
  <si>
    <t>#</t>
  </si>
  <si>
    <t>Category</t>
  </si>
  <si>
    <t>Standard for 10 scores</t>
    <phoneticPr fontId="0"/>
  </si>
  <si>
    <t>Description</t>
  </si>
  <si>
    <t>Score (1~10)</t>
    <phoneticPr fontId="0"/>
  </si>
  <si>
    <t>Rate</t>
    <phoneticPr fontId="0"/>
  </si>
  <si>
    <t>Japanese</t>
  </si>
  <si>
    <t>Listening</t>
  </si>
  <si>
    <t>N3+</t>
  </si>
  <si>
    <t>Speaking</t>
  </si>
  <si>
    <t>Writing</t>
  </si>
  <si>
    <t>Reading</t>
  </si>
  <si>
    <t>English</t>
  </si>
  <si>
    <t>Intermediate</t>
  </si>
  <si>
    <t>Education</t>
  </si>
  <si>
    <t>ĐH</t>
  </si>
  <si>
    <t>Ghi rõ tên tất cả các trường đã TN và năm TN</t>
  </si>
  <si>
    <t>IT Experience</t>
    <phoneticPr fontId="17"/>
  </si>
  <si>
    <t>5~8yrs</t>
  </si>
  <si>
    <r>
      <t>Ghi chính xác số năm kinh nghiệm trong l</t>
    </r>
    <r>
      <rPr>
        <sz val="9"/>
        <rFont val="ＭＳ Ｐゴシック"/>
        <family val="3"/>
        <charset val="128"/>
      </rPr>
      <t>ĩ</t>
    </r>
    <r>
      <rPr>
        <sz val="9"/>
        <rFont val="Tahoma"/>
        <family val="2"/>
      </rPr>
      <t>nh vực IT</t>
    </r>
    <phoneticPr fontId="17"/>
  </si>
  <si>
    <t>Working experience in Japan</t>
  </si>
  <si>
    <t>&lt;1y</t>
  </si>
  <si>
    <t>Ghi chính xác số năm kinh nghiệm làm việc ở Nhật</t>
  </si>
  <si>
    <t>Technical skill 
(Hardskill/ Professionals/ Experience/Techical Skills/ Process)</t>
  </si>
  <si>
    <t>Position</t>
  </si>
  <si>
    <r>
      <rPr>
        <b/>
        <sz val="9"/>
        <rFont val="Tahoma"/>
        <family val="2"/>
      </rPr>
      <t>Ghi rõ position đã làm, số năm kinh nghiệm.</t>
    </r>
    <r>
      <rPr>
        <sz val="9"/>
        <rFont val="Tahoma"/>
        <family val="2"/>
      </rPr>
      <t xml:space="preserve"> </t>
    </r>
    <r>
      <rPr>
        <b/>
        <sz val="9"/>
        <rFont val="Tahoma"/>
        <family val="2"/>
      </rPr>
      <t xml:space="preserve">VD </t>
    </r>
    <r>
      <rPr>
        <sz val="9"/>
        <rFont val="Tahoma"/>
        <family val="2"/>
      </rPr>
      <t>3 năm code, 2 năm test UT, IT,ST, test design, 1 năm PM size 5 members, 1 năm Basic Design bằng tiếng Nhật, 1 năm Detail Design bằng tiếng Anh, 1 năm BA…</t>
    </r>
    <r>
      <rPr>
        <b/>
        <sz val="9"/>
        <rFont val="Tahoma"/>
        <family val="2"/>
      </rPr>
      <t xml:space="preserve"> </t>
    </r>
    <r>
      <rPr>
        <b/>
        <i/>
        <sz val="9"/>
        <rFont val="Tahoma"/>
        <family val="2"/>
      </rPr>
      <t>Các nhận xét khác của interviewer</t>
    </r>
  </si>
  <si>
    <t>Programing Language</t>
  </si>
  <si>
    <r>
      <rPr>
        <b/>
        <sz val="9"/>
        <rFont val="Tahoma"/>
        <family val="2"/>
      </rPr>
      <t>Ghi rõ ngôn ngữ đã làm thật trong dự án và số năm kinh nghiệm</t>
    </r>
    <r>
      <rPr>
        <sz val="9"/>
        <rFont val="Tahoma"/>
        <family val="2"/>
      </rPr>
      <t xml:space="preserve">. 
</t>
    </r>
    <r>
      <rPr>
        <b/>
        <sz val="9"/>
        <rFont val="Tahoma"/>
        <family val="2"/>
      </rPr>
      <t xml:space="preserve">VD 
- Java: Dev3, </t>
    </r>
    <r>
      <rPr>
        <sz val="9"/>
        <rFont val="Tahoma"/>
        <family val="2"/>
      </rPr>
      <t xml:space="preserve">2 năm Java front end Springs,
- </t>
    </r>
    <r>
      <rPr>
        <b/>
        <sz val="9"/>
        <rFont val="Tahoma"/>
        <family val="2"/>
      </rPr>
      <t>dotNET:</t>
    </r>
    <r>
      <rPr>
        <sz val="9"/>
        <rFont val="Tahoma"/>
        <family val="2"/>
      </rPr>
      <t xml:space="preserve"> </t>
    </r>
    <r>
      <rPr>
        <b/>
        <sz val="9"/>
        <rFont val="Tahoma"/>
        <family val="2"/>
      </rPr>
      <t>Dev2</t>
    </r>
    <r>
      <rPr>
        <sz val="9"/>
        <rFont val="Tahoma"/>
        <family val="2"/>
      </rPr>
      <t xml:space="preserve">, 2 năm web
- </t>
    </r>
    <r>
      <rPr>
        <b/>
        <sz val="9"/>
        <rFont val="Tahoma"/>
        <family val="2"/>
      </rPr>
      <t>Python</t>
    </r>
    <r>
      <rPr>
        <sz val="9"/>
        <rFont val="Tahoma"/>
        <family val="2"/>
      </rPr>
      <t xml:space="preserve">: Dev1
- </t>
    </r>
    <r>
      <rPr>
        <b/>
        <sz val="9"/>
        <rFont val="Tahoma"/>
        <family val="2"/>
      </rPr>
      <t>Oracle</t>
    </r>
    <r>
      <rPr>
        <sz val="9"/>
        <rFont val="Tahoma"/>
        <family val="2"/>
      </rPr>
      <t xml:space="preserve"> làm nhiều, MySQL ít. 
</t>
    </r>
    <r>
      <rPr>
        <b/>
        <sz val="9"/>
        <color rgb="FFFF0000"/>
        <rFont val="Tahoma"/>
        <family val="2"/>
      </rPr>
      <t>Ghi rõ kinh nghiệm ở các domain, VD 3 năm Cobol dự án chứng khoán, 2 năm Qt dự án Car Navigation...</t>
    </r>
    <r>
      <rPr>
        <b/>
        <sz val="9"/>
        <rFont val="Tahoma"/>
        <family val="2"/>
      </rPr>
      <t xml:space="preserve">
</t>
    </r>
    <r>
      <rPr>
        <b/>
        <sz val="9"/>
        <color rgb="FF00B0F0"/>
        <rFont val="Tahoma"/>
        <family val="2"/>
      </rPr>
      <t>Ghi rõ khả năng làm được BD, DD, bằng tiếng Nhật hay tiếng Anh, kinh nghiệm bao lâu</t>
    </r>
    <r>
      <rPr>
        <sz val="9"/>
        <rFont val="Tahoma"/>
        <family val="2"/>
      </rPr>
      <t xml:space="preserve">
</t>
    </r>
    <r>
      <rPr>
        <b/>
        <i/>
        <sz val="9"/>
        <rFont val="Tahoma"/>
        <family val="2"/>
      </rPr>
      <t>Các nhận xét khác của interviewer</t>
    </r>
  </si>
  <si>
    <t>Job rank assessed by Interviewer</t>
  </si>
  <si>
    <t>Management - Job rank</t>
  </si>
  <si>
    <t>PM1</t>
  </si>
  <si>
    <t>BrSE- Job rank</t>
  </si>
  <si>
    <t>BrSE0</t>
  </si>
  <si>
    <t>SE/Dev/Test -Job rank</t>
  </si>
  <si>
    <t>Dev3</t>
  </si>
  <si>
    <t>BA/Comtor - Job rank</t>
  </si>
  <si>
    <t>BA1</t>
  </si>
  <si>
    <t>Writing Basic Design by Japanese</t>
  </si>
  <si>
    <t>0 year</t>
  </si>
  <si>
    <t>Writing Detail Design by Japanese</t>
  </si>
  <si>
    <t>Soft Skill</t>
  </si>
  <si>
    <t>Presentation/Communication Skills</t>
  </si>
  <si>
    <t>Ghi rõ nhận xét của interviewer. Thang điểm 10</t>
    <phoneticPr fontId="17"/>
  </si>
  <si>
    <t>Learning Ability/Adaptable Ability</t>
  </si>
  <si>
    <t>Ghi rõ nhận xét của interviewer. Thang điểm 10</t>
  </si>
  <si>
    <t>Ability to handle pressure at work</t>
  </si>
  <si>
    <t>Plus point</t>
    <phoneticPr fontId="17"/>
  </si>
  <si>
    <t>Working location</t>
    <phoneticPr fontId="17"/>
  </si>
  <si>
    <r>
      <t>Làm việc ở vùng nào c</t>
    </r>
    <r>
      <rPr>
        <sz val="9"/>
        <rFont val="ＭＳ Ｐゴシック"/>
        <family val="3"/>
        <charset val="128"/>
      </rPr>
      <t>ũ</t>
    </r>
    <r>
      <rPr>
        <sz val="9"/>
        <rFont val="Tahoma"/>
        <family val="2"/>
      </rPr>
      <t>ng được 10 điểm. Ghi rõ địa điểm có thể làm việc được</t>
    </r>
    <phoneticPr fontId="17"/>
  </si>
  <si>
    <t>Experience of working in FSOFT</t>
    <phoneticPr fontId="17"/>
  </si>
  <si>
    <t>Ghi rõ số năm và chi tiết kinh nghiệm làm việc tại FSOFT</t>
    <phoneticPr fontId="17"/>
  </si>
  <si>
    <t>Valuable skill</t>
    <phoneticPr fontId="17"/>
  </si>
  <si>
    <t>Ghi rõ skil hiếm hoặc khó hoặc có mặt bằng lương cao mà ứng viên sở hữu. VD Python, Ruby, Machine Learning…</t>
    <phoneticPr fontId="17"/>
  </si>
  <si>
    <t>Total score</t>
    <phoneticPr fontId="0"/>
  </si>
  <si>
    <t>Conclusion</t>
  </si>
  <si>
    <t>Reference Information</t>
  </si>
  <si>
    <t>Current resident address</t>
  </si>
  <si>
    <t>Ghi rõ nơi ở hiện tại của ứng viên, vd Đà Nẵng, Nagoya…</t>
  </si>
  <si>
    <t>Visa status</t>
  </si>
  <si>
    <t>Chú ý nếu UV không có bằng ĐH thì phải hỏi có chứng chỉ FE hoặc 10 năm kinh nghiệm IT không?</t>
  </si>
  <si>
    <t xml:space="preserve">Start date </t>
  </si>
  <si>
    <t>Ngày ứng vien có thể bắt đầu làm việc nếu pass</t>
  </si>
  <si>
    <t>Family status</t>
  </si>
  <si>
    <t>Tình trạng gia đình, vd vợ đang đi làm ở Hàn, 2 con ở VN với ông bà</t>
  </si>
  <si>
    <t>Japanese moving expectation</t>
  </si>
  <si>
    <t>Mong muốn sang Nhật bao lâu, vd muốn sang Nhật 3 năm, vợ con vẫn ở VN hoặc muốn định cư cả gia đình tại Nhật…</t>
  </si>
  <si>
    <t>Position exepectation</t>
  </si>
  <si>
    <t>Vị trí mong muốn, vd BrSE theo hướng có offshore hoặc SE focus vào kỹ thuật mới hoặc chỉ muốn làm trong lĩnh vực tài chính…</t>
  </si>
  <si>
    <t>Mức lương mong muốn</t>
  </si>
  <si>
    <t xml:space="preserve">Interview checklist template </t>
  </si>
  <si>
    <t>Overview</t>
  </si>
  <si>
    <t>Links</t>
  </si>
  <si>
    <t>Interview checklist template ,là phiếu đánh ghi lại toàn bộ quá trình phỏng vấn giữa ứng viên và interviewer, đánh giá năng lực ứng viên thông qua các thông  tin đã được phỏng vấn, xếp năng lực ứng viên phù hợp với Job rank của Fsoft</t>
  </si>
  <si>
    <t>1. Interview check list</t>
  </si>
  <si>
    <t>Click here</t>
  </si>
  <si>
    <r>
      <t xml:space="preserve"> Interview check list là các mục bắt buộc phải hỏi và đánh giá khi interviewer thực hiện cuộc phỏng vấn với ứng viên
</t>
    </r>
    <r>
      <rPr>
        <b/>
        <sz val="11"/>
        <color theme="1"/>
        <rFont val="Calibri"/>
        <family val="2"/>
        <scheme val="minor"/>
      </rPr>
      <t>Information</t>
    </r>
    <r>
      <rPr>
        <sz val="11"/>
        <color theme="1"/>
        <rFont val="Calibri"/>
        <family val="2"/>
        <scheme val="minor"/>
      </rPr>
      <t xml:space="preserve"> : Các thông tin cơ bản về ứng viên ( tên, trường,... job ứng tuyển, Rank...)
- Applied Position : Vị trí ứng tuyển( DEV, Test, BA...) interviewer lựachọn trong Box bên cạnh
- Job level : Rank 1, Rank 2, Rank 3… tương đương phân loại rank ứng viền  ( Ví dụ : ứng viên ứng tuyển rank DEV, Rank 1 =&gt; DEV1
</t>
    </r>
    <r>
      <rPr>
        <b/>
        <sz val="11"/>
        <color theme="1"/>
        <rFont val="Calibri"/>
        <family val="2"/>
        <scheme val="minor"/>
      </rPr>
      <t xml:space="preserve">Interview Evaluation: </t>
    </r>
    <r>
      <rPr>
        <sz val="11"/>
        <color theme="1"/>
        <rFont val="Calibri"/>
        <family val="2"/>
        <scheme val="minor"/>
      </rPr>
      <t>Đánh giá cho điểm theo trọng số và xếp job rank cho ứng, kết quả chốt Pass/ fail/ consider
- Rate : Trọng số theo quy định công ty 
- Score : Thang điểm 1 - 10 , interview cho điểm ứng viên theo thang điểm này
- Language : Chọn trong Box hiển thị ngôn ngữ cần đánh giá
- Please select certification : liệt kê các chứng chỉ và các giải thưởng nếu có
- Techical skill : phỏng vấn theo cấu trúc  từ dễ đến khó ( must have , Nice Have ) theo  từng domain
- Job rank assesed : xếp loại ứng viên  tương ứng phù hợp với RAnk của Fsoft (( ví dụ DEV1, DEv2...)
- Total score : điểm sẽ tự động và xếp loại pass/fail/consider
- Interviewer cần bổ sung mô tả cho từng mục để giải thích kết quả đánh giá.</t>
    </r>
  </si>
  <si>
    <t>Reference information</t>
  </si>
  <si>
    <t>- Salary expectation :  Câu hỏi dành riêng cho FWA
- Các Câu hỏi còn lại Interviewer phỏng vấn</t>
  </si>
  <si>
    <r>
      <t xml:space="preserve">2. </t>
    </r>
    <r>
      <rPr>
        <b/>
        <sz val="11"/>
        <color theme="1"/>
        <rFont val="Calibri"/>
        <family val="2"/>
        <scheme val="minor"/>
      </rPr>
      <t>Techinterview</t>
    </r>
    <r>
      <rPr>
        <sz val="11"/>
        <color theme="1"/>
        <rFont val="Calibri"/>
        <family val="2"/>
        <scheme val="minor"/>
      </rPr>
      <t xml:space="preserve">
Interviewer ghi lại câu hỏi và  trả lời của ứng viên trong quá trình phỏng vấn (không áp dụng cho BA)</t>
    </r>
  </si>
  <si>
    <r>
      <t>3.</t>
    </r>
    <r>
      <rPr>
        <b/>
        <sz val="11"/>
        <color theme="1"/>
        <rFont val="Calibri"/>
        <family val="2"/>
        <scheme val="minor"/>
      </rPr>
      <t>InterviewBank</t>
    </r>
    <r>
      <rPr>
        <sz val="11"/>
        <color theme="1"/>
        <rFont val="Calibri"/>
        <family val="2"/>
        <scheme val="minor"/>
      </rPr>
      <t xml:space="preserve">
Ngân hàng câu hỏi cho interviewer tham khảo</t>
    </r>
  </si>
  <si>
    <t>Anh, chị Interviewer vui lòng fill thông tin vào các ô  màu xanh lá cây theo Thang điểm 10</t>
  </si>
  <si>
    <t>Information</t>
  </si>
  <si>
    <t>Applied Position</t>
  </si>
  <si>
    <t>BA</t>
  </si>
  <si>
    <t>Interview Unit</t>
  </si>
  <si>
    <t>Job level</t>
  </si>
  <si>
    <t>Interviewer</t>
    <phoneticPr fontId="17"/>
  </si>
  <si>
    <t>REC to help fill in in advance.</t>
  </si>
  <si>
    <t>Candidate</t>
    <phoneticPr fontId="17"/>
  </si>
  <si>
    <t>Interview Date</t>
  </si>
  <si>
    <t>Education</t>
    <phoneticPr fontId="17"/>
  </si>
  <si>
    <r>
      <t xml:space="preserve">Major: </t>
    </r>
    <r>
      <rPr>
        <i/>
        <sz val="12"/>
        <color theme="1"/>
        <rFont val="Times New Roman"/>
        <family val="1"/>
      </rPr>
      <t>REC to help fill in in advance.</t>
    </r>
  </si>
  <si>
    <t>Graduated scores</t>
    <phoneticPr fontId="17"/>
  </si>
  <si>
    <t>Please select graduated rank</t>
  </si>
  <si>
    <t>Interview Evaluation</t>
  </si>
  <si>
    <t>#</t>
    <phoneticPr fontId="17"/>
  </si>
  <si>
    <t>Category</t>
    <phoneticPr fontId="17"/>
  </si>
  <si>
    <t>Sub-category</t>
    <phoneticPr fontId="17"/>
  </si>
  <si>
    <t>Description</t>
    <phoneticPr fontId="17"/>
  </si>
  <si>
    <t>Rate</t>
  </si>
  <si>
    <t>Proficiency</t>
  </si>
  <si>
    <t>Previous companies</t>
    <phoneticPr fontId="17"/>
  </si>
  <si>
    <t xml:space="preserve">Experiences </t>
  </si>
  <si>
    <t>Applied Position Experience</t>
  </si>
  <si>
    <t xml:space="preserve">Ghi chính xác số năm kinh nghiệm với applied position
</t>
  </si>
  <si>
    <t>Interviewer to fill in details of assessment….</t>
  </si>
  <si>
    <t>Advanced</t>
  </si>
  <si>
    <t>BA Knowledge</t>
  </si>
  <si>
    <t>BA Planning &amp; Monitoring</t>
  </si>
  <si>
    <t xml:space="preserve">Basic Skill: Break down task of BA and plan by excel/mpp. Monitor daily progress, know how to handle risk/issue.
Advanced Skill: Define appropriate approach for different types of projects &amp; proper deliverables.
</t>
  </si>
  <si>
    <t>Fundamental awareness</t>
  </si>
  <si>
    <t>Elicitation &amp; Collaboration</t>
  </si>
  <si>
    <r>
      <rPr>
        <sz val="11"/>
        <rFont val="Times New Roman"/>
        <family val="1"/>
      </rPr>
      <t xml:space="preserve">Basic Skill: Elicitate requirement via document/existing system analysis, simple interview
Intermediate: Requirement Workshop.
Advanced: Research, Experiment, Feasibility Study.
</t>
    </r>
  </si>
  <si>
    <t>Requirement Analysis &amp; Design Definition</t>
  </si>
  <si>
    <t>Requirement Life Cycle Management</t>
  </si>
  <si>
    <r>
      <rPr>
        <sz val="11"/>
        <rFont val="Times New Roman"/>
        <family val="1"/>
      </rPr>
      <t xml:space="preserve">Understand requirement life cycle (traceability, prioritization, approval, maintenance, reuseability) (profieciency level depends on how much knowledge and experience they have in above items).
</t>
    </r>
  </si>
  <si>
    <t>Limited Experience</t>
  </si>
  <si>
    <t>Solution Evaluation</t>
  </si>
  <si>
    <r>
      <rPr>
        <sz val="11"/>
        <rFont val="Times New Roman"/>
        <family val="1"/>
      </rPr>
      <t xml:space="preserve">Basic: know how to conduct User Acceptance Test.
Advanced: know how to perform different testing/evaluation to improve product value and define the improvement for the system.
</t>
    </r>
  </si>
  <si>
    <t>Strategy Analysis</t>
  </si>
  <si>
    <t>Have knowledge and experience in current &amp; future state analysis, gap analysis, risk assessment and overall change strategy. (should be at enterprise level, not project level)</t>
  </si>
  <si>
    <t>Domain Knowledge</t>
  </si>
  <si>
    <t>Domain Knowledge Understanding</t>
  </si>
  <si>
    <t>Assessment based on:
- Number of experience in the corresponding domain.
- Certificate.
- Direct discussion.</t>
  </si>
  <si>
    <t>Technical Understanding</t>
  </si>
  <si>
    <t>General Technical Understanding</t>
  </si>
  <si>
    <t xml:space="preserve">Have fundamental IT knowledge: database structure, one programming language, application structure, API. 
</t>
  </si>
  <si>
    <t>Platform Understanding</t>
  </si>
  <si>
    <t xml:space="preserve">Have knowledge on 1 platform on business analyst perspective (understand functionality supported, know how to configure, know limitation), for example: SharePoint, Microsoft Dynamic, a main module of ERP.
</t>
  </si>
  <si>
    <t>Management Skill</t>
  </si>
  <si>
    <t>Team Management</t>
  </si>
  <si>
    <t>Have experience in building a team (recruitment, managing career path, training…)</t>
  </si>
  <si>
    <t>Soft skill</t>
    <phoneticPr fontId="17"/>
  </si>
  <si>
    <t>Analytical Thinking</t>
  </si>
  <si>
    <t xml:space="preserve">Depending on how interviewees respond to questions of interviewer in simulation/exploring past experience. (whether they understand the issue properly and give a related solution)
</t>
  </si>
  <si>
    <t>Communication Skill</t>
  </si>
  <si>
    <t xml:space="preserve">Depending on how interviewees communicate.
</t>
  </si>
  <si>
    <t>Other Skill</t>
  </si>
  <si>
    <t xml:space="preserve">This can be changed based on specific position or bonus point for strong skill of candidate.
</t>
  </si>
  <si>
    <t>Language</t>
  </si>
  <si>
    <t>English/Japanese</t>
  </si>
  <si>
    <t>Advanced/N2</t>
  </si>
  <si>
    <t>Writing:</t>
  </si>
  <si>
    <t>Reading:</t>
  </si>
  <si>
    <t>Certifications</t>
  </si>
  <si>
    <t>Please select certification</t>
  </si>
  <si>
    <t xml:space="preserve">Liệt kê thành tích và chứng chỉ nếu có: </t>
  </si>
  <si>
    <t>Yes</t>
  </si>
  <si>
    <t>Total score</t>
  </si>
  <si>
    <t>Conclusion</t>
    <phoneticPr fontId="17"/>
  </si>
  <si>
    <t>Start date</t>
    <phoneticPr fontId="17"/>
  </si>
  <si>
    <t>REC/Interviewer to fill in.</t>
  </si>
  <si>
    <t>Position expectation</t>
    <phoneticPr fontId="17"/>
  </si>
  <si>
    <t>REC fill in in advance</t>
  </si>
  <si>
    <t>Candidate concern</t>
    <phoneticPr fontId="17"/>
  </si>
  <si>
    <t>Current resident address</t>
    <phoneticPr fontId="17"/>
  </si>
  <si>
    <t>Family status</t>
    <phoneticPr fontId="17"/>
  </si>
  <si>
    <t>Career path</t>
    <phoneticPr fontId="17"/>
  </si>
  <si>
    <t>Salary expectation</t>
  </si>
  <si>
    <t>Working location (Hòa Lạc, Onsite,…)</t>
  </si>
  <si>
    <t>Kinh nghiệm làm việc FSO</t>
  </si>
  <si>
    <t>General Assessment</t>
  </si>
  <si>
    <t>Question set for BA skill.</t>
  </si>
  <si>
    <t>Soft skill can be subjective.</t>
  </si>
  <si>
    <t>No</t>
  </si>
  <si>
    <t>Job Rank</t>
  </si>
  <si>
    <t>General Question</t>
  </si>
  <si>
    <t>Answer</t>
  </si>
  <si>
    <t>Hint/Answer</t>
  </si>
  <si>
    <t>All</t>
  </si>
  <si>
    <t>What's your marriage status?</t>
  </si>
  <si>
    <t>Why do you leave your previous/current company?</t>
  </si>
  <si>
    <t>Điều gì có thể motivate được team member tốt nhất?</t>
  </si>
  <si>
    <t>Điều gì có thể giúp member làm việc với performance tốt nhất?</t>
  </si>
  <si>
    <t>How much do you know about BA job?</t>
  </si>
  <si>
    <t>Please share with me/us about your BA experience.</t>
  </si>
  <si>
    <t>Presentation</t>
  </si>
  <si>
    <t>Please describe a system that you have joined in the requirement phase as a BA.</t>
  </si>
  <si>
    <t>What's your opinion about working overtime?</t>
  </si>
  <si>
    <t>What do you think about working under high pressure? How much of work is high pressure with you?</t>
  </si>
  <si>
    <t>As a BA, we might need to travel to get the requirement, is it a problem with you?</t>
  </si>
  <si>
    <t>Could you share with us/me about your hobby?</t>
  </si>
  <si>
    <t>If you want to be a BA, what have you done to achieve your target?</t>
  </si>
  <si>
    <t>Are you studying anything now?</t>
  </si>
  <si>
    <t>How much time per day you can spend for studying?</t>
  </si>
  <si>
    <t>With your current skills, what do you think you should improve in order to work better as a BA?</t>
  </si>
  <si>
    <t>BA 1</t>
  </si>
  <si>
    <t>BA Skill Basic</t>
  </si>
  <si>
    <t>How many BA product that you know?</t>
  </si>
  <si>
    <t>SRS/BD/Function Spec, AVF, UM</t>
  </si>
  <si>
    <t>BA 3</t>
  </si>
  <si>
    <t>Requirement Gathering</t>
  </si>
  <si>
    <t>Which information do you have in the SRS document? / Which information do you need to describe a system?</t>
  </si>
  <si>
    <t>asking about SRS outline</t>
  </si>
  <si>
    <t>Do you know about UML?</t>
  </si>
  <si>
    <t>Unified Modeling Language</t>
  </si>
  <si>
    <t>What's UC/User story? Please give me an example of UC/US.</t>
  </si>
  <si>
    <t>definition/purpose, information that need to have</t>
  </si>
  <si>
    <t xml:space="preserve">What's the meaning of actor? </t>
  </si>
  <si>
    <t>How many type of actor do you know?</t>
  </si>
  <si>
    <t>How many scenario path of an use case?</t>
  </si>
  <si>
    <t>happy/alternative/exception path</t>
  </si>
  <si>
    <t>What's the application workflow?</t>
  </si>
  <si>
    <t>Do you know about UC diagram? Which object do we need to have in an UC diagram?</t>
  </si>
  <si>
    <t>actor, uc</t>
  </si>
  <si>
    <t>What's the rule we should follow to have a good UC diagram?</t>
  </si>
  <si>
    <t>How do you describe a screen? Please provide an example?</t>
  </si>
  <si>
    <t>Please give me some example of common validation rule in a screen.</t>
  </si>
  <si>
    <t>What's the functional and non-functional requirement?</t>
  </si>
  <si>
    <t>Technical</t>
  </si>
  <si>
    <t>Please share with me/us about your technical background</t>
  </si>
  <si>
    <t>Do you know anything about database management system such as SQL/Oracle?</t>
  </si>
  <si>
    <t>BA 2</t>
  </si>
  <si>
    <t>Requirement Workshop</t>
  </si>
  <si>
    <t>Please share with us the way to setup a requirement workshop</t>
  </si>
  <si>
    <t>How often do you think is the best to setup a meeting with customer?</t>
  </si>
  <si>
    <t>Stakeholder Interview</t>
  </si>
  <si>
    <t>Please share with us the way to do customer interview.</t>
  </si>
  <si>
    <t>Simulation</t>
  </si>
  <si>
    <t>Please ask me to get the requirement for archive functions.</t>
  </si>
  <si>
    <t>Requirement Planning</t>
  </si>
  <si>
    <t>Please explain the way you make the requirement plan.</t>
  </si>
  <si>
    <t>What's the purpose of requirement plan?</t>
  </si>
  <si>
    <t>What's the required input for making plan?</t>
  </si>
  <si>
    <t>Change Requirement</t>
  </si>
  <si>
    <t>What's the change requirement?</t>
  </si>
  <si>
    <t>What's the source of change requirement and how to mitigate it?</t>
  </si>
  <si>
    <t>What'll you do if you want to raise a change requirement?</t>
  </si>
  <si>
    <t>Scoping</t>
  </si>
  <si>
    <t>What's the requirement scope? Where do you find it?</t>
  </si>
  <si>
    <t>What'll you do if you feel that customer is trying to add a function that is not in the scope?</t>
  </si>
  <si>
    <t>What have you do to prepare for the requirement gathering phase of a new project?</t>
  </si>
  <si>
    <t>How can you find the input for the requirement phase?</t>
  </si>
  <si>
    <t>Stakeholder Management</t>
  </si>
  <si>
    <t>What's the purpose of managing stakeholder?</t>
  </si>
  <si>
    <t>Have you ever be a BA leader of a project? If yes, what's your responsibility?</t>
  </si>
  <si>
    <t>How to priority requirement? Which criteria will be used?</t>
  </si>
  <si>
    <t>Requirement Planning and Monitoring</t>
  </si>
  <si>
    <t>When you making a requirement plan for your BA team, how will you assign task for your member?</t>
  </si>
  <si>
    <t>assign depend of member skill</t>
  </si>
  <si>
    <t>After making a plan and you feel that with the current number of resources you cannot achieve the deadline, how will you do?</t>
  </si>
  <si>
    <t>Requirement Management</t>
  </si>
  <si>
    <t>What's the requirement information?</t>
  </si>
  <si>
    <t>Which information do you use for managing requirement information?</t>
  </si>
  <si>
    <t>What's the requirement traceability?</t>
  </si>
  <si>
    <t xml:space="preserve">Technical </t>
  </si>
  <si>
    <t>Tính điểm</t>
  </si>
  <si>
    <t>No knowledge/experience</t>
  </si>
  <si>
    <t>No knowledge</t>
  </si>
  <si>
    <t>Fundamental/N5</t>
  </si>
  <si>
    <t>Limited/N4</t>
  </si>
  <si>
    <t>Intermediate/N3</t>
  </si>
  <si>
    <t>Expert</t>
  </si>
  <si>
    <t>Fluently/N1</t>
  </si>
  <si>
    <t>Please introduce yourself</t>
  </si>
  <si>
    <t xml:space="preserve">
</t>
  </si>
  <si>
    <t xml:space="preserve">
</t>
  </si>
  <si>
    <t>Can you list down all the phases for a Software Development Lifecyle?
And what is the goal or output of BA for each phase?</t>
  </si>
  <si>
    <t>You show that you understand needs and elicit the requirements from PO. Can you give me an example?
Did you face any diffuculty at that moment and how do you overcome it?</t>
  </si>
  <si>
    <r>
      <rPr>
        <sz val="11"/>
        <rFont val="Times New Roman"/>
        <family val="1"/>
      </rPr>
      <t>Basic: Know different ways to define and document requirement at detailed level: use case or user story.
Advanced: Know to define requirement architect suitable for each types of project and review the requirement to make sure it aligns with project's goal.</t>
    </r>
  </si>
  <si>
    <t>If the bank want to integrate with a third party payment service, how do you describe the API specification?</t>
  </si>
  <si>
    <t>1. Please describe a transaction by debit or credit card at a POS. How many stakeholders are involved in that transaction?
2. In case of the bank want to deploy a POS on a Supermarket
- How many method of payment can be applied?
- How many kinds of document you should provide to stakeholders? Can you give me the structure of one kind of them?</t>
  </si>
  <si>
    <t>Can you name some internal system of a digital banking?
- Operation
- Management system
- Sales and marketing
- Customer service?</t>
  </si>
  <si>
    <t>Can you list down some operations that a customer do with the bank?</t>
  </si>
  <si>
    <t>Human abundant opporrtunity and don’t want to share =&gt; investigate
Ask other expirence people</t>
  </si>
  <si>
    <t>5 năm kinh nghiệm làm BA trong ngân hàng, với hệ thống core, thanh toán, thẻ</t>
  </si>
  <si>
    <t>Question</t>
  </si>
  <si>
    <t>Nắm được full lifecycle software development. Có kinh nghiệm thực tế với SDLC.
Tuy nhiên output của BA ở eliciate chưa rõ ràng. Chưa nêu được giai đoạn project definition</t>
  </si>
  <si>
    <t>I see you got CBAP certificate, how many kinds of requirements that you know?
Business requirement
Can you show me some skills or method applied in eliciation phase?
How would you organize a workshop?
- Interview
- Workshop
- Benchmark
- Observation
- Survey
- Document analysis</t>
  </si>
  <si>
    <t>Bạn biết cách elicit yêu cầu từ stakeholder bằng các phương pháp: Interview, workshop, document và survey. Phần lớn kinh nghiệm là interview với khách hàng, scope vừa và nhỏ
Chưa có kinh nghiệm về quan sát và benchmark các hệ thống. Có kinh nghiệm tham gia workshop chứ chưa đứng ra tổ chức workshop</t>
  </si>
  <si>
    <t>Cách giải quyết vấn đề khi gặp người không chịu chia sẻ: Tốt. Tìm hiểu trực tiếp hệ thống, tìm hiểu từ databse, hỏi người kinh nghiệm</t>
  </si>
  <si>
    <t>Có kinh nghiệm thực tế, hiểu về các hoạt động của bank</t>
  </si>
  <si>
    <t>Câu hỏi về các hệ thống nội bộ: có nêu được nhưng chưa khái quát được
Câu hỏi về thanh toán thẻ: trả lời tốt, đúng mong đợi
Câu hỏi nâng cao về API: chưa tốt, chưa từng làm tài liệu về API</t>
  </si>
  <si>
    <t>Có kinh nghiệm về BPN - business management process
Có kinh nghiệm về hệ thống thẻ
Có kinh nghiệm về hệ thống core banking</t>
  </si>
  <si>
    <t>CBAP - chứng chỉ chuyên ngành của BA</t>
  </si>
  <si>
    <t>FHM</t>
  </si>
  <si>
    <t>AKAT</t>
  </si>
  <si>
    <t>senior</t>
  </si>
  <si>
    <t>Một vài câu hỏi cần gợi ý (interview mong muốn ứng viên chủ động làm rõ câu hỏi bằng cách đặt câu hỏi ngược lại hơn là để interviewer giải thích)</t>
  </si>
  <si>
    <r>
      <t xml:space="preserve">Ứng viên có trên 5 năm làm việc trong ngân hàng ở lớp core data, logic, ít kinh nghiệm ở lớp interface. Ứng viên cũng đã tham gia nhiều SDLC từ nhỏ tới vừa. Có hiểu biết tốt về hệ quản trị cơ sở dữ liệu, nắm được các kỹ năng phân tích của BA ở mức intermediate - advance.
Tuy nhiên ứng viên chưa từng có kinh nghiệm về quản lý 1 team các BA khác. Đồng thời các phương pháp giao tiếp với business user chưa đa dạng (phần lớn bạn chỉ sử dụng face-to-face interview, khá ít workshop và presentation, cần học hỏi thêm.
=&gt; Bạn phù hợp với vị trí IT BA, mảng ngân hàng ở level </t>
    </r>
    <r>
      <rPr>
        <b/>
        <i/>
        <sz val="11"/>
        <color rgb="FFFF0000"/>
        <rFont val="Times New Roman"/>
        <family val="1"/>
      </rPr>
      <t>BA03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</si>
</sst>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44">
    <font>
      <sz val="11"/>
      <color theme="1"/>
      <name val="Calibri"/>
      <family val="2"/>
      <scheme val="minor"/>
    </font>
    <font>
      <sz val="11"/>
      <color theme="1"/>
      <name val="Calibri"/>
      <family val="2"/>
      <scheme val="minor"/>
    </font>
    <font>
      <b/>
      <sz val="11"/>
      <color theme="1"/>
      <name val="Calibri"/>
      <family val="2"/>
      <scheme val="minor"/>
    </font>
    <font>
      <sz val="11"/>
      <name val="Tahoma"/>
      <family val="2"/>
    </font>
    <font>
      <sz val="10"/>
      <name val="Tahoma"/>
      <family val="2"/>
    </font>
    <font>
      <b/>
      <sz val="10"/>
      <name val="Tahoma"/>
      <family val="2"/>
    </font>
    <font>
      <b/>
      <sz val="9"/>
      <name val="Tahoma"/>
      <family val="2"/>
    </font>
    <font>
      <sz val="9"/>
      <name val="Tahoma"/>
      <family val="2"/>
    </font>
    <font>
      <b/>
      <sz val="10"/>
      <color rgb="FFFF0000"/>
      <name val="ＭＳ Ｐゴシック"/>
      <family val="3"/>
      <charset val="128"/>
    </font>
    <font>
      <b/>
      <sz val="12"/>
      <name val="Tahoma"/>
      <family val="2"/>
    </font>
    <font>
      <b/>
      <i/>
      <sz val="10"/>
      <color rgb="FFFF0000"/>
      <name val="Tahoma"/>
      <family val="2"/>
    </font>
    <font>
      <b/>
      <i/>
      <sz val="9"/>
      <name val="Tahoma"/>
      <family val="2"/>
    </font>
    <font>
      <b/>
      <sz val="10"/>
      <color rgb="FFFF0000"/>
      <name val="Tahoma"/>
      <family val="2"/>
    </font>
    <font>
      <b/>
      <sz val="9"/>
      <color rgb="FFFF0000"/>
      <name val="Tahoma"/>
      <family val="2"/>
    </font>
    <font>
      <b/>
      <sz val="15"/>
      <color rgb="FFFF0000"/>
      <name val="Tahoma"/>
      <family val="2"/>
    </font>
    <font>
      <b/>
      <sz val="12"/>
      <color rgb="FFFF0000"/>
      <name val="Tahoma"/>
      <family val="2"/>
    </font>
    <font>
      <b/>
      <sz val="9"/>
      <color rgb="FF00B0F0"/>
      <name val="Tahoma"/>
      <family val="2"/>
    </font>
    <font>
      <sz val="6"/>
      <name val="Calibri"/>
      <family val="3"/>
      <charset val="128"/>
      <scheme val="minor"/>
    </font>
    <font>
      <u/>
      <sz val="11"/>
      <color theme="10"/>
      <name val="Calibri"/>
      <family val="2"/>
      <scheme val="minor"/>
    </font>
    <font>
      <sz val="9"/>
      <name val="ＭＳ Ｐゴシック"/>
      <family val="3"/>
      <charset val="128"/>
    </font>
    <font>
      <b/>
      <i/>
      <sz val="11"/>
      <color rgb="FFFF0000"/>
      <name val="Times New Roman"/>
      <family val="1"/>
    </font>
    <font>
      <b/>
      <sz val="11"/>
      <color rgb="FFFF0000"/>
      <name val="Times New Roman"/>
      <family val="1"/>
    </font>
    <font>
      <b/>
      <sz val="12"/>
      <color theme="1"/>
      <name val="Times New Roman"/>
      <family val="1"/>
    </font>
    <font>
      <sz val="12"/>
      <color theme="1"/>
      <name val="Times New Roman"/>
      <family val="1"/>
    </font>
    <font>
      <b/>
      <sz val="11"/>
      <color theme="1"/>
      <name val="Times New Roman"/>
      <family val="1"/>
    </font>
    <font>
      <sz val="11"/>
      <color theme="1"/>
      <name val="Times New Roman"/>
      <family val="1"/>
    </font>
    <font>
      <sz val="9"/>
      <color indexed="81"/>
      <name val="Tahoma"/>
      <family val="2"/>
    </font>
    <font>
      <b/>
      <sz val="9"/>
      <color indexed="81"/>
      <name val="Tahoma"/>
      <family val="2"/>
    </font>
    <font>
      <sz val="11"/>
      <color rgb="FFFF0000"/>
      <name val="Times New Roman"/>
      <family val="1"/>
    </font>
    <font>
      <b/>
      <sz val="18"/>
      <color theme="1"/>
      <name val="Calibri"/>
      <family val="2"/>
      <scheme val="minor"/>
    </font>
    <font>
      <b/>
      <sz val="12"/>
      <color rgb="FFFF0000"/>
      <name val="Times New Roman"/>
      <family val="1"/>
    </font>
    <font>
      <b/>
      <sz val="11"/>
      <color theme="1"/>
      <name val="Calibri"/>
      <family val="2"/>
    </font>
    <font>
      <b/>
      <sz val="11"/>
      <name val="Calibri"/>
      <family val="2"/>
    </font>
    <font>
      <sz val="11"/>
      <color theme="1"/>
      <name val="Calibri"/>
      <family val="2"/>
    </font>
    <font>
      <i/>
      <sz val="11"/>
      <color rgb="FF0070C0"/>
      <name val="Times New Roman"/>
      <family val="1"/>
    </font>
    <font>
      <sz val="11"/>
      <name val="Times New Roman"/>
      <family val="1"/>
    </font>
    <font>
      <b/>
      <sz val="11"/>
      <name val="Times New Roman"/>
      <family val="1"/>
    </font>
    <font>
      <sz val="8"/>
      <color rgb="FF2F2F2F"/>
      <name val="Segoe UI"/>
      <family val="2"/>
    </font>
    <font>
      <i/>
      <sz val="12"/>
      <color rgb="FF0070C0"/>
      <name val="Times New Roman"/>
      <family val="1"/>
    </font>
    <font>
      <sz val="11"/>
      <color rgb="FF00B050"/>
      <name val="Times New Roman"/>
      <family val="1"/>
    </font>
    <font>
      <sz val="11"/>
      <color theme="8"/>
      <name val="Times New Roman"/>
      <family val="1"/>
    </font>
    <font>
      <i/>
      <sz val="11"/>
      <color theme="4"/>
      <name val="Times New Roman"/>
      <family val="1"/>
    </font>
    <font>
      <i/>
      <sz val="12"/>
      <color theme="1"/>
      <name val="Times New Roman"/>
      <family val="1"/>
    </font>
    <font>
      <i/>
      <sz val="11"/>
      <color theme="1"/>
      <name val="Times New Roman"/>
      <family val="1"/>
    </font>
  </fonts>
  <fills count="11">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3" tint="0.3999755851924192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s>
  <cellStyleXfs count="3">
    <xf numFmtId="0" fontId="0" fillId="0" borderId="0"/>
    <xf numFmtId="9" fontId="1" fillId="0" borderId="0" applyFont="0" applyFill="0" applyBorder="0" applyAlignment="0" applyProtection="0"/>
    <xf numFmtId="0" fontId="18" fillId="0" borderId="0" applyNumberFormat="0" applyFill="0" applyBorder="0" applyAlignment="0" applyProtection="0"/>
  </cellStyleXfs>
  <cellXfs count="261">
    <xf numFmtId="0" fontId="0" fillId="0" borderId="0" xfId="0"/>
    <xf numFmtId="0" fontId="3" fillId="0" borderId="0" xfId="0" applyFont="1" applyAlignment="1">
      <alignment vertical="center"/>
    </xf>
    <xf numFmtId="0" fontId="4" fillId="0" borderId="0" xfId="0" applyFont="1" applyAlignment="1">
      <alignment vertical="center" wrapText="1"/>
    </xf>
    <xf numFmtId="0" fontId="4" fillId="0" borderId="0" xfId="0" applyFont="1" applyAlignment="1">
      <alignment horizontal="center" vertical="center" wrapText="1"/>
    </xf>
    <xf numFmtId="9" fontId="4" fillId="0" borderId="0" xfId="0" applyNumberFormat="1" applyFont="1" applyAlignment="1">
      <alignment horizontal="center" vertical="center" wrapText="1"/>
    </xf>
    <xf numFmtId="0" fontId="3" fillId="0" borderId="0" xfId="0" applyFont="1" applyAlignment="1" applyProtection="1">
      <alignment vertical="center"/>
    </xf>
    <xf numFmtId="0" fontId="4" fillId="0" borderId="0" xfId="0" applyFont="1" applyAlignment="1" applyProtection="1">
      <alignment vertical="center" wrapText="1"/>
    </xf>
    <xf numFmtId="0" fontId="7" fillId="0" borderId="1" xfId="0" applyFont="1" applyFill="1" applyBorder="1" applyAlignment="1" applyProtection="1">
      <alignment vertical="center" wrapText="1"/>
    </xf>
    <xf numFmtId="0" fontId="6" fillId="0" borderId="1" xfId="0" applyFont="1" applyFill="1" applyBorder="1" applyAlignment="1" applyProtection="1">
      <alignment vertical="center" wrapText="1"/>
    </xf>
    <xf numFmtId="9" fontId="5" fillId="0" borderId="1" xfId="1" applyNumberFormat="1" applyFont="1" applyBorder="1" applyAlignment="1" applyProtection="1">
      <alignment horizontal="center" vertical="center" wrapText="1"/>
    </xf>
    <xf numFmtId="0" fontId="6" fillId="0" borderId="1" xfId="0" applyFont="1" applyFill="1" applyBorder="1" applyAlignment="1">
      <alignment horizontal="left" vertical="center" wrapText="1"/>
    </xf>
    <xf numFmtId="0" fontId="7" fillId="3" borderId="1" xfId="0" applyFont="1" applyFill="1" applyBorder="1" applyAlignment="1" applyProtection="1">
      <alignment vertical="top" wrapText="1"/>
    </xf>
    <xf numFmtId="0" fontId="4" fillId="3" borderId="1" xfId="0" applyFont="1" applyFill="1" applyBorder="1" applyAlignment="1" applyProtection="1">
      <alignment horizontal="center" vertical="center" wrapText="1"/>
    </xf>
    <xf numFmtId="0" fontId="10" fillId="0" borderId="0" xfId="0" applyFont="1" applyAlignment="1">
      <alignment horizontal="left" vertical="top"/>
    </xf>
    <xf numFmtId="0" fontId="7" fillId="0" borderId="1" xfId="0" applyFont="1" applyFill="1" applyBorder="1" applyAlignment="1" applyProtection="1">
      <alignment horizontal="left" vertical="center" wrapText="1"/>
    </xf>
    <xf numFmtId="0" fontId="6" fillId="0" borderId="1" xfId="0" applyFont="1" applyBorder="1" applyAlignment="1">
      <alignment horizontal="center" vertical="center" wrapText="1"/>
    </xf>
    <xf numFmtId="0" fontId="6" fillId="0" borderId="1" xfId="0" applyFont="1" applyBorder="1" applyAlignment="1">
      <alignment vertical="center" wrapText="1"/>
    </xf>
    <xf numFmtId="0" fontId="7" fillId="0" borderId="1" xfId="0" applyFont="1" applyFill="1" applyBorder="1" applyAlignment="1" applyProtection="1">
      <alignment horizontal="center" vertical="center" wrapText="1"/>
    </xf>
    <xf numFmtId="0" fontId="7" fillId="5" borderId="1" xfId="0" applyFont="1" applyFill="1" applyBorder="1" applyAlignment="1" applyProtection="1">
      <alignment vertical="top" wrapText="1"/>
    </xf>
    <xf numFmtId="0" fontId="12" fillId="6" borderId="1" xfId="0" applyFont="1" applyFill="1" applyBorder="1" applyAlignment="1" applyProtection="1">
      <alignment horizontal="center" vertical="center" wrapText="1"/>
    </xf>
    <xf numFmtId="0" fontId="13" fillId="6" borderId="1" xfId="0" applyFont="1" applyFill="1" applyBorder="1" applyAlignment="1" applyProtection="1">
      <alignment horizontal="center" vertical="center" wrapText="1"/>
    </xf>
    <xf numFmtId="9" fontId="12" fillId="6" borderId="1" xfId="0" applyNumberFormat="1" applyFont="1" applyFill="1" applyBorder="1" applyAlignment="1" applyProtection="1">
      <alignment horizontal="center" vertical="center" wrapText="1"/>
    </xf>
    <xf numFmtId="0" fontId="9" fillId="0" borderId="3" xfId="0" applyFont="1" applyBorder="1" applyAlignment="1" applyProtection="1">
      <alignment vertical="center" wrapText="1"/>
    </xf>
    <xf numFmtId="0" fontId="9" fillId="0" borderId="5" xfId="0" applyFont="1" applyBorder="1" applyAlignment="1" applyProtection="1">
      <alignment vertical="center" wrapText="1"/>
    </xf>
    <xf numFmtId="0" fontId="4" fillId="0" borderId="0" xfId="0" applyFont="1" applyBorder="1" applyAlignment="1" applyProtection="1">
      <alignment horizontal="center" vertical="center" wrapText="1"/>
    </xf>
    <xf numFmtId="0" fontId="0" fillId="0" borderId="0" xfId="0"/>
    <xf numFmtId="0" fontId="25" fillId="0" borderId="0" xfId="0" applyFont="1"/>
    <xf numFmtId="0" fontId="29" fillId="0" borderId="0" xfId="0" applyFont="1" applyAlignment="1">
      <alignment horizontal="center" wrapText="1"/>
    </xf>
    <xf numFmtId="0" fontId="2" fillId="0" borderId="1" xfId="0" applyFont="1" applyBorder="1"/>
    <xf numFmtId="0" fontId="0" fillId="0" borderId="1" xfId="0" applyBorder="1" applyAlignment="1">
      <alignment vertical="top" wrapText="1"/>
    </xf>
    <xf numFmtId="0" fontId="2" fillId="0" borderId="1" xfId="0" applyFont="1" applyBorder="1" applyAlignment="1">
      <alignment wrapText="1"/>
    </xf>
    <xf numFmtId="0" fontId="0" fillId="0" borderId="1" xfId="0" quotePrefix="1" applyBorder="1" applyAlignment="1">
      <alignment vertical="top" wrapText="1"/>
    </xf>
    <xf numFmtId="0" fontId="0" fillId="0" borderId="1" xfId="0" applyBorder="1"/>
    <xf numFmtId="0" fontId="18" fillId="0" borderId="1" xfId="2" applyBorder="1"/>
    <xf numFmtId="0" fontId="0" fillId="0" borderId="1" xfId="0" applyBorder="1" applyAlignment="1">
      <alignment wrapText="1"/>
    </xf>
    <xf numFmtId="0" fontId="31" fillId="5" borderId="1" xfId="0" applyFont="1" applyFill="1" applyBorder="1"/>
    <xf numFmtId="0" fontId="32" fillId="5" borderId="1" xfId="0" applyFont="1" applyFill="1" applyBorder="1" applyAlignment="1">
      <alignment vertical="top" wrapText="1"/>
    </xf>
    <xf numFmtId="0" fontId="33" fillId="0" borderId="0" xfId="0" applyFont="1"/>
    <xf numFmtId="0" fontId="35" fillId="0" borderId="0" xfId="0" applyFont="1"/>
    <xf numFmtId="0" fontId="0" fillId="8" borderId="1" xfId="0" applyFill="1" applyBorder="1"/>
    <xf numFmtId="0" fontId="0" fillId="9" borderId="1" xfId="0" applyFill="1" applyBorder="1"/>
    <xf numFmtId="0" fontId="0" fillId="10" borderId="1" xfId="0" applyFill="1" applyBorder="1"/>
    <xf numFmtId="0" fontId="25" fillId="10" borderId="1" xfId="0" applyFont="1" applyFill="1" applyBorder="1"/>
    <xf numFmtId="0" fontId="35" fillId="10" borderId="1" xfId="0" applyFont="1" applyFill="1" applyBorder="1"/>
    <xf numFmtId="0" fontId="25" fillId="0" borderId="0" xfId="0" applyFont="1" applyAlignment="1">
      <alignment vertical="top"/>
    </xf>
    <xf numFmtId="164" fontId="25" fillId="0" borderId="0" xfId="0" applyNumberFormat="1" applyFont="1" applyAlignment="1">
      <alignment vertical="top"/>
    </xf>
    <xf numFmtId="2" fontId="25" fillId="0" borderId="0" xfId="0" applyNumberFormat="1" applyFont="1" applyAlignment="1">
      <alignment vertical="top"/>
    </xf>
    <xf numFmtId="2" fontId="25" fillId="0" borderId="8" xfId="1" applyNumberFormat="1" applyFont="1" applyBorder="1" applyAlignment="1">
      <alignment vertical="top"/>
    </xf>
    <xf numFmtId="0" fontId="25" fillId="4" borderId="10" xfId="0" applyFont="1" applyFill="1" applyBorder="1" applyAlignment="1">
      <alignment vertical="top" wrapText="1"/>
    </xf>
    <xf numFmtId="0" fontId="25" fillId="4" borderId="11" xfId="0" applyFont="1" applyFill="1" applyBorder="1" applyAlignment="1">
      <alignment vertical="top" wrapText="1"/>
    </xf>
    <xf numFmtId="0" fontId="37" fillId="0" borderId="0" xfId="0" applyFont="1" applyAlignment="1">
      <alignment vertical="top"/>
    </xf>
    <xf numFmtId="0" fontId="24" fillId="0" borderId="1" xfId="0" applyFont="1" applyBorder="1" applyAlignment="1">
      <alignment horizontal="center" vertical="top"/>
    </xf>
    <xf numFmtId="0" fontId="35" fillId="0" borderId="0" xfId="0" applyFont="1" applyAlignment="1">
      <alignment vertical="top"/>
    </xf>
    <xf numFmtId="0" fontId="33" fillId="0" borderId="1" xfId="0" applyFont="1" applyBorder="1" applyAlignment="1">
      <alignment horizontal="left" vertical="top"/>
    </xf>
    <xf numFmtId="0" fontId="33" fillId="0" borderId="1" xfId="0" applyFont="1" applyBorder="1" applyAlignment="1">
      <alignment vertical="top" wrapText="1"/>
    </xf>
    <xf numFmtId="0" fontId="33" fillId="0" borderId="1" xfId="0" quotePrefix="1" applyFont="1" applyBorder="1" applyAlignment="1">
      <alignment vertical="top" wrapText="1"/>
    </xf>
    <xf numFmtId="0" fontId="33" fillId="0" borderId="1" xfId="0" applyFont="1" applyBorder="1" applyAlignment="1">
      <alignment wrapText="1"/>
    </xf>
    <xf numFmtId="0" fontId="33" fillId="0" borderId="1" xfId="0" quotePrefix="1" applyFont="1" applyBorder="1" applyAlignment="1">
      <alignment wrapText="1"/>
    </xf>
    <xf numFmtId="0" fontId="33" fillId="0" borderId="1" xfId="0" applyFont="1" applyFill="1" applyBorder="1" applyAlignment="1">
      <alignment vertical="top" wrapText="1"/>
    </xf>
    <xf numFmtId="0" fontId="33" fillId="0" borderId="1" xfId="0" applyFont="1" applyBorder="1"/>
    <xf numFmtId="2" fontId="25" fillId="0" borderId="8" xfId="1" applyNumberFormat="1" applyFont="1" applyBorder="1" applyAlignment="1">
      <alignment vertical="center"/>
    </xf>
    <xf numFmtId="0" fontId="25" fillId="0" borderId="0" xfId="0" applyFont="1" applyAlignment="1">
      <alignment vertical="center"/>
    </xf>
    <xf numFmtId="9" fontId="4" fillId="0" borderId="1" xfId="0" applyNumberFormat="1" applyFont="1" applyFill="1" applyBorder="1" applyAlignment="1" applyProtection="1">
      <alignment horizontal="center" vertical="center" wrapText="1"/>
    </xf>
    <xf numFmtId="0" fontId="7" fillId="0" borderId="2" xfId="0" applyFont="1" applyFill="1" applyBorder="1" applyAlignment="1" applyProtection="1">
      <alignment horizontal="center" vertical="center" wrapText="1"/>
    </xf>
    <xf numFmtId="0" fontId="5" fillId="0" borderId="1" xfId="0" applyFont="1" applyBorder="1" applyAlignment="1" applyProtection="1">
      <alignment horizontal="center" vertical="center" wrapText="1"/>
    </xf>
    <xf numFmtId="0" fontId="6" fillId="0" borderId="1" xfId="0" applyFont="1" applyFill="1" applyBorder="1" applyAlignment="1" applyProtection="1">
      <alignment horizontal="left" vertical="center" wrapText="1"/>
    </xf>
    <xf numFmtId="0" fontId="24" fillId="0" borderId="2" xfId="0" applyFont="1" applyBorder="1" applyAlignment="1">
      <alignment horizontal="center" vertical="top"/>
    </xf>
    <xf numFmtId="0" fontId="24" fillId="0" borderId="6" xfId="0" applyFont="1" applyBorder="1" applyAlignment="1">
      <alignment horizontal="center" vertical="top"/>
    </xf>
    <xf numFmtId="0" fontId="24" fillId="0" borderId="7" xfId="0" applyFont="1" applyBorder="1" applyAlignment="1">
      <alignment horizontal="center" vertical="top"/>
    </xf>
    <xf numFmtId="0" fontId="35" fillId="4" borderId="4" xfId="0" applyFont="1" applyFill="1" applyBorder="1" applyAlignment="1">
      <alignment vertical="top" wrapText="1"/>
    </xf>
    <xf numFmtId="0" fontId="35" fillId="4" borderId="5" xfId="0" applyFont="1" applyFill="1" applyBorder="1" applyAlignment="1">
      <alignment vertical="top" wrapText="1"/>
    </xf>
    <xf numFmtId="0" fontId="21" fillId="7" borderId="4" xfId="0" applyFont="1" applyFill="1" applyBorder="1" applyAlignment="1">
      <alignment horizontal="center" vertical="top"/>
    </xf>
    <xf numFmtId="0" fontId="21" fillId="7" borderId="5" xfId="0" applyFont="1" applyFill="1" applyBorder="1" applyAlignment="1">
      <alignment horizontal="center" vertical="top"/>
    </xf>
    <xf numFmtId="0" fontId="24" fillId="7" borderId="1" xfId="0" applyFont="1" applyFill="1" applyBorder="1" applyAlignment="1">
      <alignment horizontal="center" vertical="top"/>
    </xf>
    <xf numFmtId="0" fontId="25" fillId="0" borderId="0" xfId="0" applyFont="1" applyAlignment="1">
      <alignment wrapText="1"/>
    </xf>
    <xf numFmtId="0" fontId="25" fillId="0" borderId="0" xfId="0" applyFont="1" applyAlignment="1">
      <alignment horizontal="left" vertical="center" wrapText="1"/>
    </xf>
    <xf numFmtId="0" fontId="25" fillId="0" borderId="0" xfId="0" applyFont="1" applyAlignment="1">
      <alignment horizontal="left" vertical="center"/>
    </xf>
    <xf numFmtId="0" fontId="25" fillId="0" borderId="0" xfId="0" applyFont="1" applyFill="1" applyAlignment="1">
      <alignment horizontal="left" vertical="center" wrapText="1"/>
    </xf>
    <xf numFmtId="9" fontId="25" fillId="0" borderId="0" xfId="0" applyNumberFormat="1" applyFont="1" applyAlignment="1">
      <alignment horizontal="left" vertical="center"/>
    </xf>
    <xf numFmtId="0" fontId="7" fillId="3" borderId="3" xfId="0" applyFont="1" applyFill="1" applyBorder="1" applyAlignment="1">
      <alignment horizontal="left" vertical="top" wrapText="1"/>
    </xf>
    <xf numFmtId="0" fontId="7" fillId="3" borderId="4" xfId="0" applyFont="1" applyFill="1" applyBorder="1" applyAlignment="1">
      <alignment horizontal="left" vertical="top" wrapText="1"/>
    </xf>
    <xf numFmtId="0" fontId="7" fillId="3" borderId="5" xfId="0" applyFont="1" applyFill="1" applyBorder="1" applyAlignment="1">
      <alignment horizontal="left" vertical="top" wrapText="1"/>
    </xf>
    <xf numFmtId="0" fontId="5" fillId="2" borderId="3" xfId="0" applyFont="1" applyFill="1" applyBorder="1" applyAlignment="1" applyProtection="1">
      <alignment horizontal="center" vertical="center" wrapText="1"/>
    </xf>
    <xf numFmtId="0" fontId="5" fillId="2" borderId="4" xfId="0" applyFont="1" applyFill="1" applyBorder="1" applyAlignment="1" applyProtection="1">
      <alignment horizontal="center" vertical="center" wrapText="1"/>
    </xf>
    <xf numFmtId="0" fontId="5" fillId="2" borderId="5"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5" xfId="0" applyFont="1" applyBorder="1" applyAlignment="1" applyProtection="1">
      <alignment horizontal="center" vertical="center" wrapText="1"/>
    </xf>
    <xf numFmtId="0" fontId="8" fillId="0" borderId="1" xfId="0" applyFont="1" applyBorder="1" applyAlignment="1" applyProtection="1">
      <alignment horizontal="center" vertical="center" wrapText="1"/>
    </xf>
    <xf numFmtId="0" fontId="5" fillId="3" borderId="1" xfId="0" applyFont="1" applyFill="1" applyBorder="1" applyAlignment="1" applyProtection="1">
      <alignment horizontal="left" vertical="top" wrapText="1"/>
    </xf>
    <xf numFmtId="9" fontId="4" fillId="0" borderId="1" xfId="0" applyNumberFormat="1" applyFont="1" applyFill="1" applyBorder="1" applyAlignment="1" applyProtection="1">
      <alignment horizontal="center" vertical="center" wrapText="1"/>
    </xf>
    <xf numFmtId="0" fontId="6" fillId="0" borderId="2" xfId="0" applyFont="1" applyFill="1" applyBorder="1" applyAlignment="1" applyProtection="1">
      <alignment horizontal="left" vertical="center" wrapText="1"/>
    </xf>
    <xf numFmtId="0" fontId="6" fillId="0" borderId="6" xfId="0" applyFont="1" applyFill="1" applyBorder="1" applyAlignment="1" applyProtection="1">
      <alignment horizontal="left" vertical="center" wrapText="1"/>
    </xf>
    <xf numFmtId="0" fontId="6" fillId="0" borderId="7" xfId="0" applyFont="1" applyFill="1" applyBorder="1" applyAlignment="1" applyProtection="1">
      <alignment horizontal="left" vertical="center" wrapText="1"/>
    </xf>
    <xf numFmtId="0" fontId="7" fillId="0" borderId="2" xfId="0" applyFont="1" applyFill="1" applyBorder="1" applyAlignment="1" applyProtection="1">
      <alignment horizontal="center" vertical="center" wrapText="1"/>
    </xf>
    <xf numFmtId="0" fontId="7" fillId="0" borderId="7" xfId="0" applyFont="1" applyFill="1" applyBorder="1" applyAlignment="1" applyProtection="1">
      <alignment horizontal="center" vertical="center" wrapText="1"/>
    </xf>
    <xf numFmtId="9" fontId="4" fillId="0" borderId="2" xfId="0" applyNumberFormat="1" applyFont="1" applyFill="1" applyBorder="1" applyAlignment="1" applyProtection="1">
      <alignment horizontal="center" vertical="center" wrapText="1"/>
    </xf>
    <xf numFmtId="9" fontId="4" fillId="0" borderId="6" xfId="0" applyNumberFormat="1" applyFont="1" applyFill="1" applyBorder="1" applyAlignment="1" applyProtection="1">
      <alignment horizontal="center" vertical="center" wrapText="1"/>
    </xf>
    <xf numFmtId="9" fontId="4" fillId="0" borderId="7" xfId="0" applyNumberFormat="1" applyFont="1" applyFill="1" applyBorder="1" applyAlignment="1" applyProtection="1">
      <alignment horizontal="center" vertical="center" wrapText="1"/>
    </xf>
    <xf numFmtId="0" fontId="5" fillId="0" borderId="2" xfId="0" applyFont="1" applyBorder="1" applyAlignment="1" applyProtection="1">
      <alignment horizontal="center" vertical="center" wrapText="1"/>
    </xf>
    <xf numFmtId="0" fontId="5" fillId="0" borderId="6" xfId="0" applyFont="1" applyBorder="1" applyAlignment="1" applyProtection="1">
      <alignment horizontal="center" vertical="center" wrapText="1"/>
    </xf>
    <xf numFmtId="0" fontId="5" fillId="0" borderId="7" xfId="0" applyFont="1" applyBorder="1" applyAlignment="1" applyProtection="1">
      <alignment horizontal="center" vertical="center" wrapText="1"/>
    </xf>
    <xf numFmtId="0" fontId="4" fillId="0" borderId="8" xfId="0" applyFont="1" applyBorder="1" applyAlignment="1" applyProtection="1">
      <alignment horizontal="center" vertical="center" wrapText="1"/>
    </xf>
    <xf numFmtId="0" fontId="14" fillId="0" borderId="0" xfId="0" applyFont="1" applyBorder="1" applyAlignment="1" applyProtection="1">
      <alignment horizontal="center" vertical="center" wrapText="1"/>
    </xf>
    <xf numFmtId="0" fontId="5" fillId="0" borderId="1" xfId="0" applyFont="1" applyBorder="1" applyAlignment="1" applyProtection="1">
      <alignment horizontal="center" vertical="center" wrapText="1"/>
    </xf>
    <xf numFmtId="0" fontId="6" fillId="0" borderId="1" xfId="0" applyFont="1" applyFill="1" applyBorder="1" applyAlignment="1" applyProtection="1">
      <alignment horizontal="left" vertical="center" wrapText="1"/>
    </xf>
    <xf numFmtId="0" fontId="5" fillId="3" borderId="1" xfId="0" applyFont="1" applyFill="1" applyBorder="1" applyAlignment="1" applyProtection="1">
      <alignment horizontal="left" vertical="top"/>
    </xf>
    <xf numFmtId="0" fontId="9" fillId="0" borderId="3" xfId="0" applyFont="1" applyBorder="1" applyAlignment="1" applyProtection="1">
      <alignment horizontal="center" vertical="center" wrapText="1"/>
    </xf>
    <xf numFmtId="0" fontId="9" fillId="0" borderId="5" xfId="0" applyFont="1" applyBorder="1" applyAlignment="1" applyProtection="1">
      <alignment horizontal="center" vertical="center" wrapText="1"/>
    </xf>
    <xf numFmtId="0" fontId="0" fillId="0" borderId="2" xfId="0" applyBorder="1" applyAlignment="1">
      <alignment horizontal="center" wrapText="1"/>
    </xf>
    <xf numFmtId="0" fontId="0" fillId="0" borderId="6" xfId="0" applyBorder="1" applyAlignment="1">
      <alignment horizontal="center" wrapText="1"/>
    </xf>
    <xf numFmtId="0" fontId="0" fillId="0" borderId="7" xfId="0" applyBorder="1" applyAlignment="1">
      <alignment horizontal="center" wrapText="1"/>
    </xf>
    <xf numFmtId="0" fontId="35" fillId="0" borderId="1" xfId="0" applyFont="1" applyBorder="1" applyAlignment="1">
      <alignment vertical="top"/>
    </xf>
    <xf numFmtId="0" fontId="43" fillId="4" borderId="3" xfId="0" applyFont="1" applyFill="1" applyBorder="1" applyAlignment="1">
      <alignment vertical="top"/>
    </xf>
    <xf numFmtId="0" fontId="43" fillId="4" borderId="4" xfId="0" applyFont="1" applyFill="1" applyBorder="1" applyAlignment="1">
      <alignment vertical="top"/>
    </xf>
    <xf numFmtId="0" fontId="43" fillId="4" borderId="5" xfId="0" applyFont="1" applyFill="1" applyBorder="1" applyAlignment="1">
      <alignment vertical="top"/>
    </xf>
    <xf numFmtId="0" fontId="24" fillId="0" borderId="2" xfId="0" applyFont="1" applyBorder="1" applyAlignment="1">
      <alignment horizontal="center" vertical="center"/>
    </xf>
    <xf numFmtId="0" fontId="24" fillId="0" borderId="6" xfId="0" applyFont="1" applyBorder="1" applyAlignment="1">
      <alignment horizontal="center" vertical="center"/>
    </xf>
    <xf numFmtId="0" fontId="24" fillId="3" borderId="9" xfId="0" applyFont="1" applyFill="1" applyBorder="1" applyAlignment="1">
      <alignment vertical="center"/>
    </xf>
    <xf numFmtId="0" fontId="24" fillId="3" borderId="10" xfId="0" applyFont="1" applyFill="1" applyBorder="1" applyAlignment="1">
      <alignment vertical="center"/>
    </xf>
    <xf numFmtId="0" fontId="24" fillId="3" borderId="11" xfId="0" applyFont="1" applyFill="1" applyBorder="1" applyAlignment="1">
      <alignment vertical="center"/>
    </xf>
    <xf numFmtId="0" fontId="24" fillId="3" borderId="8" xfId="0" applyFont="1" applyFill="1" applyBorder="1" applyAlignment="1">
      <alignment vertical="center"/>
    </xf>
    <xf numFmtId="0" fontId="24" fillId="3" borderId="0" xfId="0" applyFont="1" applyFill="1" applyBorder="1" applyAlignment="1">
      <alignment vertical="center"/>
    </xf>
    <xf numFmtId="0" fontId="24" fillId="3" borderId="15" xfId="0" applyFont="1" applyFill="1" applyBorder="1" applyAlignment="1">
      <alignment vertical="center"/>
    </xf>
    <xf numFmtId="0" fontId="25" fillId="4" borderId="9" xfId="0" applyFont="1" applyFill="1" applyBorder="1" applyAlignment="1">
      <alignment vertical="center" wrapText="1"/>
    </xf>
    <xf numFmtId="0" fontId="25" fillId="4" borderId="10" xfId="0" applyFont="1" applyFill="1" applyBorder="1" applyAlignment="1">
      <alignment vertical="center"/>
    </xf>
    <xf numFmtId="0" fontId="25" fillId="4" borderId="11" xfId="0" applyFont="1" applyFill="1" applyBorder="1" applyAlignment="1">
      <alignment vertical="center"/>
    </xf>
    <xf numFmtId="0" fontId="25" fillId="4" borderId="8" xfId="0" applyFont="1" applyFill="1" applyBorder="1" applyAlignment="1">
      <alignment vertical="center" wrapText="1"/>
    </xf>
    <xf numFmtId="0" fontId="25" fillId="4" borderId="0" xfId="0" applyFont="1" applyFill="1" applyBorder="1" applyAlignment="1">
      <alignment vertical="center"/>
    </xf>
    <xf numFmtId="0" fontId="25" fillId="4" borderId="15" xfId="0" applyFont="1" applyFill="1" applyBorder="1" applyAlignment="1">
      <alignment vertical="center"/>
    </xf>
    <xf numFmtId="0" fontId="25" fillId="4" borderId="8" xfId="0" applyFont="1" applyFill="1" applyBorder="1" applyAlignment="1">
      <alignment vertical="center"/>
    </xf>
    <xf numFmtId="164" fontId="25" fillId="0" borderId="3" xfId="0" applyNumberFormat="1" applyFont="1" applyBorder="1" applyAlignment="1">
      <alignment horizontal="center" vertical="center"/>
    </xf>
    <xf numFmtId="164" fontId="25" fillId="0" borderId="4" xfId="0" applyNumberFormat="1" applyFont="1" applyBorder="1" applyAlignment="1">
      <alignment horizontal="center" vertical="center"/>
    </xf>
    <xf numFmtId="164" fontId="25" fillId="0" borderId="5" xfId="0" applyNumberFormat="1" applyFont="1" applyBorder="1" applyAlignment="1">
      <alignment horizontal="center" vertical="center"/>
    </xf>
    <xf numFmtId="9" fontId="25" fillId="0" borderId="3" xfId="0" applyNumberFormat="1" applyFont="1" applyBorder="1" applyAlignment="1">
      <alignment horizontal="center" vertical="center" wrapText="1"/>
    </xf>
    <xf numFmtId="9" fontId="25" fillId="0" borderId="4" xfId="0" applyNumberFormat="1" applyFont="1" applyBorder="1" applyAlignment="1">
      <alignment horizontal="center" vertical="center" wrapText="1"/>
    </xf>
    <xf numFmtId="9" fontId="25" fillId="0" borderId="5" xfId="0" applyNumberFormat="1" applyFont="1" applyBorder="1" applyAlignment="1">
      <alignment horizontal="center" vertical="center" wrapText="1"/>
    </xf>
    <xf numFmtId="0" fontId="25" fillId="0" borderId="1" xfId="0" applyFont="1" applyBorder="1" applyAlignment="1">
      <alignment vertical="top"/>
    </xf>
    <xf numFmtId="9" fontId="25" fillId="0" borderId="3" xfId="0" applyNumberFormat="1" applyFont="1" applyBorder="1" applyAlignment="1">
      <alignment horizontal="center" vertical="top"/>
    </xf>
    <xf numFmtId="9" fontId="25" fillId="0" borderId="4" xfId="0" applyNumberFormat="1" applyFont="1" applyBorder="1" applyAlignment="1">
      <alignment horizontal="center" vertical="top"/>
    </xf>
    <xf numFmtId="9" fontId="25" fillId="0" borderId="5" xfId="0" applyNumberFormat="1" applyFont="1" applyBorder="1" applyAlignment="1">
      <alignment horizontal="center" vertical="top"/>
    </xf>
    <xf numFmtId="2" fontId="21" fillId="2" borderId="3" xfId="0" applyNumberFormat="1" applyFont="1" applyFill="1" applyBorder="1" applyAlignment="1">
      <alignment horizontal="center" vertical="top"/>
    </xf>
    <xf numFmtId="2" fontId="21" fillId="2" borderId="4" xfId="0" applyNumberFormat="1" applyFont="1" applyFill="1" applyBorder="1" applyAlignment="1">
      <alignment horizontal="center" vertical="top"/>
    </xf>
    <xf numFmtId="2" fontId="21" fillId="2" borderId="5" xfId="0" applyNumberFormat="1" applyFont="1" applyFill="1" applyBorder="1" applyAlignment="1">
      <alignment horizontal="center" vertical="top"/>
    </xf>
    <xf numFmtId="9" fontId="25" fillId="0" borderId="3" xfId="0" applyNumberFormat="1" applyFont="1" applyBorder="1" applyAlignment="1">
      <alignment horizontal="center" vertical="top" wrapText="1"/>
    </xf>
    <xf numFmtId="9" fontId="25" fillId="0" borderId="4" xfId="0" applyNumberFormat="1" applyFont="1" applyBorder="1" applyAlignment="1">
      <alignment horizontal="center" vertical="top" wrapText="1"/>
    </xf>
    <xf numFmtId="9" fontId="25" fillId="0" borderId="5" xfId="0" applyNumberFormat="1" applyFont="1" applyBorder="1" applyAlignment="1">
      <alignment horizontal="center" vertical="top" wrapText="1"/>
    </xf>
    <xf numFmtId="0" fontId="25" fillId="4" borderId="1" xfId="0" applyFont="1" applyFill="1" applyBorder="1" applyAlignment="1">
      <alignment horizontal="left" vertical="center" wrapText="1"/>
    </xf>
    <xf numFmtId="0" fontId="41" fillId="4" borderId="1" xfId="0" applyFont="1" applyFill="1" applyBorder="1" applyAlignment="1">
      <alignment horizontal="left" vertical="center"/>
    </xf>
    <xf numFmtId="0" fontId="24" fillId="0" borderId="2" xfId="0" applyFont="1" applyBorder="1" applyAlignment="1">
      <alignment horizontal="center" vertical="top"/>
    </xf>
    <xf numFmtId="0" fontId="24" fillId="0" borderId="6" xfId="0" applyFont="1" applyBorder="1" applyAlignment="1">
      <alignment horizontal="center" vertical="top"/>
    </xf>
    <xf numFmtId="0" fontId="24" fillId="0" borderId="7" xfId="0" applyFont="1" applyBorder="1" applyAlignment="1">
      <alignment horizontal="center" vertical="top"/>
    </xf>
    <xf numFmtId="0" fontId="24" fillId="3" borderId="9" xfId="0" applyFont="1" applyFill="1" applyBorder="1" applyAlignment="1">
      <alignment vertical="top"/>
    </xf>
    <xf numFmtId="0" fontId="24" fillId="3" borderId="10" xfId="0" applyFont="1" applyFill="1" applyBorder="1" applyAlignment="1">
      <alignment vertical="top"/>
    </xf>
    <xf numFmtId="0" fontId="24" fillId="3" borderId="11" xfId="0" applyFont="1" applyFill="1" applyBorder="1" applyAlignment="1">
      <alignment vertical="top"/>
    </xf>
    <xf numFmtId="0" fontId="24" fillId="3" borderId="8" xfId="0" applyFont="1" applyFill="1" applyBorder="1" applyAlignment="1">
      <alignment vertical="top"/>
    </xf>
    <xf numFmtId="0" fontId="24" fillId="3" borderId="0" xfId="0" applyFont="1" applyFill="1" applyBorder="1" applyAlignment="1">
      <alignment vertical="top"/>
    </xf>
    <xf numFmtId="0" fontId="24" fillId="3" borderId="15" xfId="0" applyFont="1" applyFill="1" applyBorder="1" applyAlignment="1">
      <alignment vertical="top"/>
    </xf>
    <xf numFmtId="0" fontId="24" fillId="3" borderId="12" xfId="0" applyFont="1" applyFill="1" applyBorder="1" applyAlignment="1">
      <alignment vertical="top"/>
    </xf>
    <xf numFmtId="0" fontId="24" fillId="3" borderId="13" xfId="0" applyFont="1" applyFill="1" applyBorder="1" applyAlignment="1">
      <alignment vertical="top"/>
    </xf>
    <xf numFmtId="0" fontId="24" fillId="3" borderId="14" xfId="0" applyFont="1" applyFill="1" applyBorder="1" applyAlignment="1">
      <alignment vertical="top"/>
    </xf>
    <xf numFmtId="0" fontId="25" fillId="4" borderId="1" xfId="0" applyFont="1" applyFill="1" applyBorder="1" applyAlignment="1">
      <alignment vertical="top"/>
    </xf>
    <xf numFmtId="0" fontId="24" fillId="0" borderId="1" xfId="0" applyFont="1" applyBorder="1" applyAlignment="1">
      <alignment horizontal="left" vertical="top"/>
    </xf>
    <xf numFmtId="0" fontId="40" fillId="4" borderId="9" xfId="0" applyFont="1" applyFill="1" applyBorder="1" applyAlignment="1">
      <alignment horizontal="left" vertical="top" wrapText="1"/>
    </xf>
    <xf numFmtId="0" fontId="40" fillId="4" borderId="10" xfId="0" applyFont="1" applyFill="1" applyBorder="1" applyAlignment="1">
      <alignment horizontal="left" vertical="top" wrapText="1"/>
    </xf>
    <xf numFmtId="0" fontId="41" fillId="4" borderId="1" xfId="0" applyFont="1" applyFill="1" applyBorder="1" applyAlignment="1">
      <alignment horizontal="left" vertical="top" wrapText="1"/>
    </xf>
    <xf numFmtId="0" fontId="34" fillId="4" borderId="1" xfId="0" quotePrefix="1" applyFont="1" applyFill="1" applyBorder="1" applyAlignment="1">
      <alignment horizontal="left" vertical="top" wrapText="1"/>
    </xf>
    <xf numFmtId="0" fontId="41" fillId="4" borderId="1" xfId="0" applyFont="1" applyFill="1" applyBorder="1" applyAlignment="1">
      <alignment horizontal="left" vertical="top"/>
    </xf>
    <xf numFmtId="0" fontId="35" fillId="4" borderId="1" xfId="0" quotePrefix="1" applyFont="1" applyFill="1" applyBorder="1" applyAlignment="1">
      <alignment horizontal="left" vertical="top" wrapText="1"/>
    </xf>
    <xf numFmtId="0" fontId="25" fillId="4" borderId="1" xfId="0" applyFont="1" applyFill="1" applyBorder="1" applyAlignment="1">
      <alignment horizontal="left" vertical="top" wrapText="1"/>
    </xf>
    <xf numFmtId="1" fontId="25" fillId="0" borderId="3" xfId="0" applyNumberFormat="1" applyFont="1" applyBorder="1" applyAlignment="1">
      <alignment horizontal="center" vertical="top" wrapText="1"/>
    </xf>
    <xf numFmtId="1" fontId="25" fillId="0" borderId="4" xfId="0" applyNumberFormat="1" applyFont="1" applyBorder="1" applyAlignment="1">
      <alignment horizontal="center" vertical="top" wrapText="1"/>
    </xf>
    <xf numFmtId="1" fontId="25" fillId="0" borderId="5" xfId="0" applyNumberFormat="1" applyFont="1" applyBorder="1" applyAlignment="1">
      <alignment horizontal="center" vertical="top" wrapText="1"/>
    </xf>
    <xf numFmtId="0" fontId="39" fillId="4" borderId="3" xfId="0" applyFont="1" applyFill="1" applyBorder="1" applyAlignment="1">
      <alignment vertical="top" wrapText="1"/>
    </xf>
    <xf numFmtId="0" fontId="39" fillId="4" borderId="4" xfId="0" applyFont="1" applyFill="1" applyBorder="1" applyAlignment="1">
      <alignment vertical="top" wrapText="1"/>
    </xf>
    <xf numFmtId="0" fontId="39" fillId="4" borderId="5" xfId="0" applyFont="1" applyFill="1" applyBorder="1" applyAlignment="1">
      <alignment vertical="top" wrapText="1"/>
    </xf>
    <xf numFmtId="0" fontId="35" fillId="4" borderId="3" xfId="0" applyFont="1" applyFill="1" applyBorder="1" applyAlignment="1">
      <alignment vertical="top" wrapText="1"/>
    </xf>
    <xf numFmtId="0" fontId="35" fillId="4" borderId="4" xfId="0" applyFont="1" applyFill="1" applyBorder="1" applyAlignment="1">
      <alignment vertical="top" wrapText="1"/>
    </xf>
    <xf numFmtId="0" fontId="35" fillId="4" borderId="5" xfId="0" applyFont="1" applyFill="1" applyBorder="1" applyAlignment="1">
      <alignment vertical="top" wrapText="1"/>
    </xf>
    <xf numFmtId="0" fontId="24" fillId="0" borderId="1" xfId="0" applyFont="1" applyBorder="1" applyAlignment="1">
      <alignment horizontal="left" vertical="top" wrapText="1"/>
    </xf>
    <xf numFmtId="0" fontId="24" fillId="0" borderId="9" xfId="0" applyFont="1" applyBorder="1" applyAlignment="1">
      <alignment horizontal="left" vertical="top" wrapText="1"/>
    </xf>
    <xf numFmtId="0" fontId="24" fillId="0" borderId="10" xfId="0" applyFont="1" applyBorder="1" applyAlignment="1">
      <alignment horizontal="left" vertical="top" wrapText="1"/>
    </xf>
    <xf numFmtId="0" fontId="24" fillId="0" borderId="11" xfId="0" applyFont="1" applyBorder="1" applyAlignment="1">
      <alignment horizontal="left" vertical="top" wrapText="1"/>
    </xf>
    <xf numFmtId="0" fontId="24" fillId="0" borderId="8" xfId="0" applyFont="1" applyBorder="1" applyAlignment="1">
      <alignment horizontal="left" vertical="top" wrapText="1"/>
    </xf>
    <xf numFmtId="0" fontId="24" fillId="0" borderId="0" xfId="0" applyFont="1" applyBorder="1" applyAlignment="1">
      <alignment horizontal="left" vertical="top" wrapText="1"/>
    </xf>
    <xf numFmtId="0" fontId="24" fillId="0" borderId="15" xfId="0" applyFont="1" applyBorder="1" applyAlignment="1">
      <alignment horizontal="left" vertical="top" wrapText="1"/>
    </xf>
    <xf numFmtId="0" fontId="36" fillId="3" borderId="9" xfId="2" applyFont="1" applyFill="1" applyBorder="1" applyAlignment="1">
      <alignment horizontal="left" vertical="top" wrapText="1"/>
    </xf>
    <xf numFmtId="0" fontId="36" fillId="3" borderId="10" xfId="2" applyFont="1" applyFill="1" applyBorder="1" applyAlignment="1">
      <alignment horizontal="left" vertical="top" wrapText="1"/>
    </xf>
    <xf numFmtId="0" fontId="36" fillId="3" borderId="11" xfId="2" applyFont="1" applyFill="1" applyBorder="1" applyAlignment="1">
      <alignment horizontal="left" vertical="top" wrapText="1"/>
    </xf>
    <xf numFmtId="0" fontId="36" fillId="3" borderId="8" xfId="2" applyFont="1" applyFill="1" applyBorder="1" applyAlignment="1">
      <alignment horizontal="left" vertical="top" wrapText="1"/>
    </xf>
    <xf numFmtId="0" fontId="36" fillId="3" borderId="0" xfId="2" applyFont="1" applyFill="1" applyBorder="1" applyAlignment="1">
      <alignment horizontal="left" vertical="top" wrapText="1"/>
    </xf>
    <xf numFmtId="0" fontId="36" fillId="3" borderId="15" xfId="2" applyFont="1" applyFill="1" applyBorder="1" applyAlignment="1">
      <alignment horizontal="left" vertical="top" wrapText="1"/>
    </xf>
    <xf numFmtId="0" fontId="35" fillId="4" borderId="3" xfId="0" applyFont="1" applyFill="1" applyBorder="1" applyAlignment="1">
      <alignment horizontal="left" vertical="top" wrapText="1"/>
    </xf>
    <xf numFmtId="0" fontId="35" fillId="4" borderId="4" xfId="0" applyFont="1" applyFill="1" applyBorder="1" applyAlignment="1">
      <alignment horizontal="left" vertical="top" wrapText="1"/>
    </xf>
    <xf numFmtId="0" fontId="35" fillId="4" borderId="1" xfId="0" applyFont="1" applyFill="1" applyBorder="1" applyAlignment="1">
      <alignment horizontal="left" vertical="top" wrapText="1"/>
    </xf>
    <xf numFmtId="0" fontId="25" fillId="0" borderId="3" xfId="0" applyFont="1" applyBorder="1" applyAlignment="1">
      <alignment vertical="top"/>
    </xf>
    <xf numFmtId="0" fontId="25" fillId="0" borderId="4" xfId="0" applyFont="1" applyBorder="1" applyAlignment="1">
      <alignment vertical="top"/>
    </xf>
    <xf numFmtId="0" fontId="25" fillId="0" borderId="5" xfId="0" applyFont="1" applyBorder="1" applyAlignment="1">
      <alignment vertical="top"/>
    </xf>
    <xf numFmtId="0" fontId="25" fillId="4" borderId="1" xfId="0" quotePrefix="1" applyFont="1" applyFill="1" applyBorder="1" applyAlignment="1">
      <alignment vertical="top"/>
    </xf>
    <xf numFmtId="0" fontId="28" fillId="0" borderId="1" xfId="0" applyFont="1" applyBorder="1" applyAlignment="1">
      <alignment vertical="top"/>
    </xf>
    <xf numFmtId="0" fontId="24" fillId="7" borderId="3" xfId="0" applyFont="1" applyFill="1" applyBorder="1" applyAlignment="1">
      <alignment horizontal="left" vertical="top"/>
    </xf>
    <xf numFmtId="0" fontId="24" fillId="7" borderId="4" xfId="0" applyFont="1" applyFill="1" applyBorder="1" applyAlignment="1">
      <alignment horizontal="left" vertical="top"/>
    </xf>
    <xf numFmtId="0" fontId="24" fillId="7" borderId="5" xfId="0" applyFont="1" applyFill="1" applyBorder="1" applyAlignment="1">
      <alignment horizontal="left" vertical="top"/>
    </xf>
    <xf numFmtId="0" fontId="21" fillId="2" borderId="3" xfId="0" applyFont="1" applyFill="1" applyBorder="1" applyAlignment="1">
      <alignment horizontal="right" vertical="top"/>
    </xf>
    <xf numFmtId="0" fontId="21" fillId="2" borderId="4" xfId="0" applyFont="1" applyFill="1" applyBorder="1" applyAlignment="1">
      <alignment horizontal="right" vertical="top"/>
    </xf>
    <xf numFmtId="0" fontId="21" fillId="2" borderId="5" xfId="0" applyFont="1" applyFill="1" applyBorder="1" applyAlignment="1">
      <alignment horizontal="right" vertical="top"/>
    </xf>
    <xf numFmtId="0" fontId="21" fillId="2" borderId="1" xfId="0" applyFont="1" applyFill="1" applyBorder="1" applyAlignment="1">
      <alignment horizontal="center" vertical="top"/>
    </xf>
    <xf numFmtId="0" fontId="20" fillId="0" borderId="3" xfId="0" applyFont="1" applyBorder="1" applyAlignment="1">
      <alignment horizontal="left" vertical="top"/>
    </xf>
    <xf numFmtId="0" fontId="20" fillId="0" borderId="4" xfId="0" applyFont="1" applyBorder="1" applyAlignment="1">
      <alignment horizontal="left" vertical="top"/>
    </xf>
    <xf numFmtId="0" fontId="20" fillId="0" borderId="5" xfId="0" applyFont="1" applyBorder="1" applyAlignment="1">
      <alignment horizontal="left" vertical="top"/>
    </xf>
    <xf numFmtId="0" fontId="21" fillId="7" borderId="3" xfId="0" applyFont="1" applyFill="1" applyBorder="1" applyAlignment="1">
      <alignment horizontal="center" vertical="top"/>
    </xf>
    <xf numFmtId="0" fontId="21" fillId="7" borderId="4" xfId="0" applyFont="1" applyFill="1" applyBorder="1" applyAlignment="1">
      <alignment horizontal="center" vertical="top"/>
    </xf>
    <xf numFmtId="0" fontId="21" fillId="7" borderId="5" xfId="0" applyFont="1" applyFill="1" applyBorder="1" applyAlignment="1">
      <alignment horizontal="center" vertical="top"/>
    </xf>
    <xf numFmtId="0" fontId="24" fillId="0" borderId="9" xfId="0" applyFont="1" applyBorder="1" applyAlignment="1">
      <alignment horizontal="left" vertical="top"/>
    </xf>
    <xf numFmtId="0" fontId="24" fillId="0" borderId="10" xfId="0" applyFont="1" applyBorder="1" applyAlignment="1">
      <alignment horizontal="left" vertical="top"/>
    </xf>
    <xf numFmtId="0" fontId="24" fillId="0" borderId="11" xfId="0" applyFont="1" applyBorder="1" applyAlignment="1">
      <alignment horizontal="left" vertical="top"/>
    </xf>
    <xf numFmtId="0" fontId="24" fillId="0" borderId="12" xfId="0" applyFont="1" applyBorder="1" applyAlignment="1">
      <alignment horizontal="left" vertical="top"/>
    </xf>
    <xf numFmtId="0" fontId="24" fillId="0" borderId="13" xfId="0" applyFont="1" applyBorder="1" applyAlignment="1">
      <alignment horizontal="left" vertical="top"/>
    </xf>
    <xf numFmtId="0" fontId="24" fillId="0" borderId="14" xfId="0" applyFont="1" applyBorder="1" applyAlignment="1">
      <alignment horizontal="left" vertical="top"/>
    </xf>
    <xf numFmtId="0" fontId="24" fillId="7" borderId="1" xfId="0" applyFont="1" applyFill="1" applyBorder="1" applyAlignment="1">
      <alignment horizontal="center" vertical="top"/>
    </xf>
    <xf numFmtId="0" fontId="30" fillId="0" borderId="3" xfId="0" quotePrefix="1" applyFont="1" applyBorder="1" applyAlignment="1">
      <alignment horizontal="left" vertical="top" wrapText="1"/>
    </xf>
    <xf numFmtId="0" fontId="30" fillId="0" borderId="4" xfId="0" applyFont="1" applyBorder="1" applyAlignment="1">
      <alignment horizontal="left" vertical="top" wrapText="1"/>
    </xf>
    <xf numFmtId="0" fontId="30" fillId="0" borderId="5" xfId="0" applyFont="1" applyBorder="1" applyAlignment="1">
      <alignment horizontal="left" vertical="top" wrapText="1"/>
    </xf>
    <xf numFmtId="0" fontId="30" fillId="7" borderId="3" xfId="0" applyFont="1" applyFill="1" applyBorder="1" applyAlignment="1">
      <alignment horizontal="left" vertical="top" wrapText="1"/>
    </xf>
    <xf numFmtId="0" fontId="30" fillId="7" borderId="4" xfId="0" applyFont="1" applyFill="1" applyBorder="1" applyAlignment="1">
      <alignment horizontal="left" vertical="top" wrapText="1"/>
    </xf>
    <xf numFmtId="0" fontId="22" fillId="0" borderId="1" xfId="0" applyFont="1" applyBorder="1" applyAlignment="1">
      <alignment vertical="top" wrapText="1"/>
    </xf>
    <xf numFmtId="0" fontId="23" fillId="4" borderId="1" xfId="0" applyFont="1" applyFill="1" applyBorder="1" applyAlignment="1">
      <alignment vertical="top" wrapText="1"/>
    </xf>
    <xf numFmtId="0" fontId="22" fillId="0" borderId="3" xfId="0" applyFont="1" applyBorder="1" applyAlignment="1">
      <alignment vertical="top" wrapText="1"/>
    </xf>
    <xf numFmtId="0" fontId="22" fillId="0" borderId="4" xfId="0" applyFont="1" applyBorder="1" applyAlignment="1">
      <alignment vertical="top" wrapText="1"/>
    </xf>
    <xf numFmtId="0" fontId="22" fillId="0" borderId="5" xfId="0" applyFont="1" applyBorder="1" applyAlignment="1">
      <alignment vertical="top" wrapText="1"/>
    </xf>
    <xf numFmtId="18" fontId="23" fillId="4" borderId="1" xfId="0" applyNumberFormat="1" applyFont="1" applyFill="1" applyBorder="1" applyAlignment="1">
      <alignment horizontal="left" vertical="top" wrapText="1"/>
    </xf>
    <xf numFmtId="14" fontId="23" fillId="4" borderId="1" xfId="0" applyNumberFormat="1" applyFont="1" applyFill="1" applyBorder="1" applyAlignment="1">
      <alignment horizontal="left" vertical="top" wrapText="1"/>
    </xf>
    <xf numFmtId="0" fontId="38" fillId="4" borderId="3" xfId="0" applyFont="1" applyFill="1" applyBorder="1" applyAlignment="1">
      <alignment vertical="top" wrapText="1"/>
    </xf>
    <xf numFmtId="0" fontId="38" fillId="4" borderId="4" xfId="0" applyFont="1" applyFill="1" applyBorder="1" applyAlignment="1">
      <alignment vertical="top" wrapText="1"/>
    </xf>
    <xf numFmtId="0" fontId="38" fillId="4" borderId="5" xfId="0" applyFont="1" applyFill="1" applyBorder="1" applyAlignment="1">
      <alignment vertical="top" wrapText="1"/>
    </xf>
    <xf numFmtId="0" fontId="23" fillId="0" borderId="1" xfId="0" applyFont="1" applyBorder="1" applyAlignment="1">
      <alignment vertical="top" wrapText="1"/>
    </xf>
    <xf numFmtId="0" fontId="38" fillId="4" borderId="1" xfId="0" applyFont="1" applyFill="1" applyBorder="1" applyAlignment="1">
      <alignment vertical="top" wrapText="1"/>
    </xf>
    <xf numFmtId="0" fontId="22" fillId="0" borderId="9" xfId="0" applyFont="1" applyBorder="1" applyAlignment="1">
      <alignment vertical="top" wrapText="1"/>
    </xf>
    <xf numFmtId="0" fontId="22" fillId="0" borderId="10" xfId="0" applyFont="1" applyBorder="1" applyAlignment="1">
      <alignment vertical="top" wrapText="1"/>
    </xf>
    <xf numFmtId="0" fontId="22" fillId="0" borderId="11" xfId="0" applyFont="1" applyBorder="1" applyAlignment="1">
      <alignment vertical="top" wrapText="1"/>
    </xf>
    <xf numFmtId="0" fontId="22" fillId="0" borderId="12" xfId="0" applyFont="1" applyBorder="1" applyAlignment="1">
      <alignment vertical="top" wrapText="1"/>
    </xf>
    <xf numFmtId="0" fontId="22" fillId="0" borderId="13" xfId="0" applyFont="1" applyBorder="1" applyAlignment="1">
      <alignment vertical="top" wrapText="1"/>
    </xf>
    <xf numFmtId="0" fontId="22" fillId="0" borderId="14" xfId="0" applyFont="1" applyBorder="1" applyAlignment="1">
      <alignment vertical="top" wrapText="1"/>
    </xf>
    <xf numFmtId="0" fontId="22" fillId="0" borderId="9" xfId="0" applyFont="1" applyBorder="1" applyAlignment="1">
      <alignment vertical="center" wrapText="1"/>
    </xf>
    <xf numFmtId="0" fontId="22" fillId="0" borderId="10" xfId="0" applyFont="1" applyBorder="1" applyAlignment="1">
      <alignment vertical="center" wrapText="1"/>
    </xf>
    <xf numFmtId="0" fontId="22" fillId="0" borderId="11" xfId="0" applyFont="1" applyBorder="1" applyAlignment="1">
      <alignment vertical="center" wrapText="1"/>
    </xf>
    <xf numFmtId="0" fontId="22" fillId="0" borderId="12" xfId="0" applyFont="1" applyBorder="1" applyAlignment="1">
      <alignment vertical="center" wrapText="1"/>
    </xf>
    <xf numFmtId="0" fontId="22" fillId="0" borderId="13" xfId="0" applyFont="1" applyBorder="1" applyAlignment="1">
      <alignment vertical="center" wrapText="1"/>
    </xf>
    <xf numFmtId="0" fontId="22" fillId="0" borderId="14" xfId="0" applyFont="1" applyBorder="1" applyAlignment="1">
      <alignment vertical="center" wrapText="1"/>
    </xf>
    <xf numFmtId="0" fontId="23" fillId="4" borderId="1" xfId="0" applyFont="1" applyFill="1" applyBorder="1" applyAlignment="1">
      <alignment vertical="center" wrapText="1"/>
    </xf>
    <xf numFmtId="0" fontId="23" fillId="4" borderId="1" xfId="0" applyFont="1" applyFill="1" applyBorder="1" applyAlignment="1">
      <alignment horizontal="left" vertical="center" wrapText="1"/>
    </xf>
    <xf numFmtId="0" fontId="23" fillId="4" borderId="3" xfId="0" applyFont="1" applyFill="1" applyBorder="1" applyAlignment="1">
      <alignment horizontal="left" vertical="center" wrapText="1"/>
    </xf>
    <xf numFmtId="0" fontId="23" fillId="4" borderId="4" xfId="0" applyFont="1" applyFill="1" applyBorder="1" applyAlignment="1">
      <alignment horizontal="left" vertical="center" wrapText="1"/>
    </xf>
    <xf numFmtId="0" fontId="23" fillId="4" borderId="5" xfId="0" applyFont="1" applyFill="1" applyBorder="1" applyAlignment="1">
      <alignment horizontal="left" vertical="center" wrapText="1"/>
    </xf>
    <xf numFmtId="0" fontId="28" fillId="4" borderId="3" xfId="0" applyFont="1" applyFill="1" applyBorder="1" applyAlignment="1">
      <alignment vertical="top" wrapText="1"/>
    </xf>
    <xf numFmtId="0" fontId="28" fillId="4" borderId="4" xfId="0" applyFont="1" applyFill="1" applyBorder="1" applyAlignment="1">
      <alignment vertical="top" wrapText="1"/>
    </xf>
    <xf numFmtId="0" fontId="28" fillId="4" borderId="5" xfId="0" applyFont="1" applyFill="1" applyBorder="1" applyAlignment="1">
      <alignment vertical="top" wrapText="1"/>
    </xf>
    <xf numFmtId="0" fontId="43" fillId="4" borderId="1" xfId="0" applyFont="1" applyFill="1" applyBorder="1" applyAlignment="1">
      <alignment horizontal="left" vertical="top" wrapText="1"/>
    </xf>
    <xf numFmtId="0" fontId="43" fillId="4" borderId="1" xfId="0" applyFont="1" applyFill="1" applyBorder="1" applyAlignment="1">
      <alignment horizontal="left" vertical="top"/>
    </xf>
    <xf numFmtId="0" fontId="25" fillId="4" borderId="1" xfId="0" quotePrefix="1" applyFont="1" applyFill="1" applyBorder="1" applyAlignment="1">
      <alignment horizontal="left" vertical="top" wrapText="1"/>
    </xf>
    <xf numFmtId="0" fontId="25" fillId="4" borderId="1" xfId="0" applyFont="1" applyFill="1" applyBorder="1" applyAlignment="1">
      <alignment horizontal="left" vertical="top"/>
    </xf>
    <xf numFmtId="0" fontId="43" fillId="4" borderId="3" xfId="0" applyFont="1" applyFill="1" applyBorder="1" applyAlignment="1">
      <alignment vertical="top" wrapText="1"/>
    </xf>
  </cellXfs>
  <cellStyles count="3">
    <cellStyle name="Hyperlink" xfId="2" builtinId="8"/>
    <cellStyle name="Normal" xfId="0" builtinId="0"/>
    <cellStyle name="Percent" xfId="1" builtinId="5"/>
  </cellStyles>
  <dxfs count="70">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7"/>
  <sheetViews>
    <sheetView view="pageBreakPreview" zoomScale="98" zoomScaleNormal="118" zoomScaleSheetLayoutView="98" workbookViewId="0">
      <selection activeCell="D12" sqref="D12"/>
    </sheetView>
  </sheetViews>
  <sheetFormatPr defaultRowHeight="12.75"/>
  <cols>
    <col min="1" max="1" width="6.265625" style="2" customWidth="1"/>
    <col min="2" max="2" width="40.1328125" style="2" customWidth="1"/>
    <col min="3" max="3" width="28.3984375" style="2" customWidth="1"/>
    <col min="4" max="4" width="43.265625" style="2" customWidth="1"/>
    <col min="5" max="5" width="15.265625" style="3" customWidth="1"/>
    <col min="6" max="6" width="15.265625" style="4" customWidth="1"/>
    <col min="7" max="7" width="4.73046875" style="2" hidden="1" customWidth="1"/>
    <col min="8" max="256" width="9.1328125" style="2"/>
    <col min="257" max="257" width="6.265625" style="2" customWidth="1"/>
    <col min="258" max="258" width="25.265625" style="2" customWidth="1"/>
    <col min="259" max="259" width="31.3984375" style="2" customWidth="1"/>
    <col min="260" max="260" width="31.73046875" style="2" customWidth="1"/>
    <col min="261" max="261" width="14.86328125" style="2" customWidth="1"/>
    <col min="262" max="262" width="14" style="2" customWidth="1"/>
    <col min="263" max="512" width="9.1328125" style="2"/>
    <col min="513" max="513" width="6.265625" style="2" customWidth="1"/>
    <col min="514" max="514" width="25.265625" style="2" customWidth="1"/>
    <col min="515" max="515" width="31.3984375" style="2" customWidth="1"/>
    <col min="516" max="516" width="31.73046875" style="2" customWidth="1"/>
    <col min="517" max="517" width="14.86328125" style="2" customWidth="1"/>
    <col min="518" max="518" width="14" style="2" customWidth="1"/>
    <col min="519" max="768" width="9.1328125" style="2"/>
    <col min="769" max="769" width="6.265625" style="2" customWidth="1"/>
    <col min="770" max="770" width="25.265625" style="2" customWidth="1"/>
    <col min="771" max="771" width="31.3984375" style="2" customWidth="1"/>
    <col min="772" max="772" width="31.73046875" style="2" customWidth="1"/>
    <col min="773" max="773" width="14.86328125" style="2" customWidth="1"/>
    <col min="774" max="774" width="14" style="2" customWidth="1"/>
    <col min="775" max="1024" width="9.1328125" style="2"/>
    <col min="1025" max="1025" width="6.265625" style="2" customWidth="1"/>
    <col min="1026" max="1026" width="25.265625" style="2" customWidth="1"/>
    <col min="1027" max="1027" width="31.3984375" style="2" customWidth="1"/>
    <col min="1028" max="1028" width="31.73046875" style="2" customWidth="1"/>
    <col min="1029" max="1029" width="14.86328125" style="2" customWidth="1"/>
    <col min="1030" max="1030" width="14" style="2" customWidth="1"/>
    <col min="1031" max="1280" width="9.1328125" style="2"/>
    <col min="1281" max="1281" width="6.265625" style="2" customWidth="1"/>
    <col min="1282" max="1282" width="25.265625" style="2" customWidth="1"/>
    <col min="1283" max="1283" width="31.3984375" style="2" customWidth="1"/>
    <col min="1284" max="1284" width="31.73046875" style="2" customWidth="1"/>
    <col min="1285" max="1285" width="14.86328125" style="2" customWidth="1"/>
    <col min="1286" max="1286" width="14" style="2" customWidth="1"/>
    <col min="1287" max="1536" width="9.1328125" style="2"/>
    <col min="1537" max="1537" width="6.265625" style="2" customWidth="1"/>
    <col min="1538" max="1538" width="25.265625" style="2" customWidth="1"/>
    <col min="1539" max="1539" width="31.3984375" style="2" customWidth="1"/>
    <col min="1540" max="1540" width="31.73046875" style="2" customWidth="1"/>
    <col min="1541" max="1541" width="14.86328125" style="2" customWidth="1"/>
    <col min="1542" max="1542" width="14" style="2" customWidth="1"/>
    <col min="1543" max="1792" width="9.1328125" style="2"/>
    <col min="1793" max="1793" width="6.265625" style="2" customWidth="1"/>
    <col min="1794" max="1794" width="25.265625" style="2" customWidth="1"/>
    <col min="1795" max="1795" width="31.3984375" style="2" customWidth="1"/>
    <col min="1796" max="1796" width="31.73046875" style="2" customWidth="1"/>
    <col min="1797" max="1797" width="14.86328125" style="2" customWidth="1"/>
    <col min="1798" max="1798" width="14" style="2" customWidth="1"/>
    <col min="1799" max="2048" width="9.1328125" style="2"/>
    <col min="2049" max="2049" width="6.265625" style="2" customWidth="1"/>
    <col min="2050" max="2050" width="25.265625" style="2" customWidth="1"/>
    <col min="2051" max="2051" width="31.3984375" style="2" customWidth="1"/>
    <col min="2052" max="2052" width="31.73046875" style="2" customWidth="1"/>
    <col min="2053" max="2053" width="14.86328125" style="2" customWidth="1"/>
    <col min="2054" max="2054" width="14" style="2" customWidth="1"/>
    <col min="2055" max="2304" width="9.1328125" style="2"/>
    <col min="2305" max="2305" width="6.265625" style="2" customWidth="1"/>
    <col min="2306" max="2306" width="25.265625" style="2" customWidth="1"/>
    <col min="2307" max="2307" width="31.3984375" style="2" customWidth="1"/>
    <col min="2308" max="2308" width="31.73046875" style="2" customWidth="1"/>
    <col min="2309" max="2309" width="14.86328125" style="2" customWidth="1"/>
    <col min="2310" max="2310" width="14" style="2" customWidth="1"/>
    <col min="2311" max="2560" width="9.1328125" style="2"/>
    <col min="2561" max="2561" width="6.265625" style="2" customWidth="1"/>
    <col min="2562" max="2562" width="25.265625" style="2" customWidth="1"/>
    <col min="2563" max="2563" width="31.3984375" style="2" customWidth="1"/>
    <col min="2564" max="2564" width="31.73046875" style="2" customWidth="1"/>
    <col min="2565" max="2565" width="14.86328125" style="2" customWidth="1"/>
    <col min="2566" max="2566" width="14" style="2" customWidth="1"/>
    <col min="2567" max="2816" width="9.1328125" style="2"/>
    <col min="2817" max="2817" width="6.265625" style="2" customWidth="1"/>
    <col min="2818" max="2818" width="25.265625" style="2" customWidth="1"/>
    <col min="2819" max="2819" width="31.3984375" style="2" customWidth="1"/>
    <col min="2820" max="2820" width="31.73046875" style="2" customWidth="1"/>
    <col min="2821" max="2821" width="14.86328125" style="2" customWidth="1"/>
    <col min="2822" max="2822" width="14" style="2" customWidth="1"/>
    <col min="2823" max="3072" width="9.1328125" style="2"/>
    <col min="3073" max="3073" width="6.265625" style="2" customWidth="1"/>
    <col min="3074" max="3074" width="25.265625" style="2" customWidth="1"/>
    <col min="3075" max="3075" width="31.3984375" style="2" customWidth="1"/>
    <col min="3076" max="3076" width="31.73046875" style="2" customWidth="1"/>
    <col min="3077" max="3077" width="14.86328125" style="2" customWidth="1"/>
    <col min="3078" max="3078" width="14" style="2" customWidth="1"/>
    <col min="3079" max="3328" width="9.1328125" style="2"/>
    <col min="3329" max="3329" width="6.265625" style="2" customWidth="1"/>
    <col min="3330" max="3330" width="25.265625" style="2" customWidth="1"/>
    <col min="3331" max="3331" width="31.3984375" style="2" customWidth="1"/>
    <col min="3332" max="3332" width="31.73046875" style="2" customWidth="1"/>
    <col min="3333" max="3333" width="14.86328125" style="2" customWidth="1"/>
    <col min="3334" max="3334" width="14" style="2" customWidth="1"/>
    <col min="3335" max="3584" width="9.1328125" style="2"/>
    <col min="3585" max="3585" width="6.265625" style="2" customWidth="1"/>
    <col min="3586" max="3586" width="25.265625" style="2" customWidth="1"/>
    <col min="3587" max="3587" width="31.3984375" style="2" customWidth="1"/>
    <col min="3588" max="3588" width="31.73046875" style="2" customWidth="1"/>
    <col min="3589" max="3589" width="14.86328125" style="2" customWidth="1"/>
    <col min="3590" max="3590" width="14" style="2" customWidth="1"/>
    <col min="3591" max="3840" width="9.1328125" style="2"/>
    <col min="3841" max="3841" width="6.265625" style="2" customWidth="1"/>
    <col min="3842" max="3842" width="25.265625" style="2" customWidth="1"/>
    <col min="3843" max="3843" width="31.3984375" style="2" customWidth="1"/>
    <col min="3844" max="3844" width="31.73046875" style="2" customWidth="1"/>
    <col min="3845" max="3845" width="14.86328125" style="2" customWidth="1"/>
    <col min="3846" max="3846" width="14" style="2" customWidth="1"/>
    <col min="3847" max="4096" width="9.1328125" style="2"/>
    <col min="4097" max="4097" width="6.265625" style="2" customWidth="1"/>
    <col min="4098" max="4098" width="25.265625" style="2" customWidth="1"/>
    <col min="4099" max="4099" width="31.3984375" style="2" customWidth="1"/>
    <col min="4100" max="4100" width="31.73046875" style="2" customWidth="1"/>
    <col min="4101" max="4101" width="14.86328125" style="2" customWidth="1"/>
    <col min="4102" max="4102" width="14" style="2" customWidth="1"/>
    <col min="4103" max="4352" width="9.1328125" style="2"/>
    <col min="4353" max="4353" width="6.265625" style="2" customWidth="1"/>
    <col min="4354" max="4354" width="25.265625" style="2" customWidth="1"/>
    <col min="4355" max="4355" width="31.3984375" style="2" customWidth="1"/>
    <col min="4356" max="4356" width="31.73046875" style="2" customWidth="1"/>
    <col min="4357" max="4357" width="14.86328125" style="2" customWidth="1"/>
    <col min="4358" max="4358" width="14" style="2" customWidth="1"/>
    <col min="4359" max="4608" width="9.1328125" style="2"/>
    <col min="4609" max="4609" width="6.265625" style="2" customWidth="1"/>
    <col min="4610" max="4610" width="25.265625" style="2" customWidth="1"/>
    <col min="4611" max="4611" width="31.3984375" style="2" customWidth="1"/>
    <col min="4612" max="4612" width="31.73046875" style="2" customWidth="1"/>
    <col min="4613" max="4613" width="14.86328125" style="2" customWidth="1"/>
    <col min="4614" max="4614" width="14" style="2" customWidth="1"/>
    <col min="4615" max="4864" width="9.1328125" style="2"/>
    <col min="4865" max="4865" width="6.265625" style="2" customWidth="1"/>
    <col min="4866" max="4866" width="25.265625" style="2" customWidth="1"/>
    <col min="4867" max="4867" width="31.3984375" style="2" customWidth="1"/>
    <col min="4868" max="4868" width="31.73046875" style="2" customWidth="1"/>
    <col min="4869" max="4869" width="14.86328125" style="2" customWidth="1"/>
    <col min="4870" max="4870" width="14" style="2" customWidth="1"/>
    <col min="4871" max="5120" width="9.1328125" style="2"/>
    <col min="5121" max="5121" width="6.265625" style="2" customWidth="1"/>
    <col min="5122" max="5122" width="25.265625" style="2" customWidth="1"/>
    <col min="5123" max="5123" width="31.3984375" style="2" customWidth="1"/>
    <col min="5124" max="5124" width="31.73046875" style="2" customWidth="1"/>
    <col min="5125" max="5125" width="14.86328125" style="2" customWidth="1"/>
    <col min="5126" max="5126" width="14" style="2" customWidth="1"/>
    <col min="5127" max="5376" width="9.1328125" style="2"/>
    <col min="5377" max="5377" width="6.265625" style="2" customWidth="1"/>
    <col min="5378" max="5378" width="25.265625" style="2" customWidth="1"/>
    <col min="5379" max="5379" width="31.3984375" style="2" customWidth="1"/>
    <col min="5380" max="5380" width="31.73046875" style="2" customWidth="1"/>
    <col min="5381" max="5381" width="14.86328125" style="2" customWidth="1"/>
    <col min="5382" max="5382" width="14" style="2" customWidth="1"/>
    <col min="5383" max="5632" width="9.1328125" style="2"/>
    <col min="5633" max="5633" width="6.265625" style="2" customWidth="1"/>
    <col min="5634" max="5634" width="25.265625" style="2" customWidth="1"/>
    <col min="5635" max="5635" width="31.3984375" style="2" customWidth="1"/>
    <col min="5636" max="5636" width="31.73046875" style="2" customWidth="1"/>
    <col min="5637" max="5637" width="14.86328125" style="2" customWidth="1"/>
    <col min="5638" max="5638" width="14" style="2" customWidth="1"/>
    <col min="5639" max="5888" width="9.1328125" style="2"/>
    <col min="5889" max="5889" width="6.265625" style="2" customWidth="1"/>
    <col min="5890" max="5890" width="25.265625" style="2" customWidth="1"/>
    <col min="5891" max="5891" width="31.3984375" style="2" customWidth="1"/>
    <col min="5892" max="5892" width="31.73046875" style="2" customWidth="1"/>
    <col min="5893" max="5893" width="14.86328125" style="2" customWidth="1"/>
    <col min="5894" max="5894" width="14" style="2" customWidth="1"/>
    <col min="5895" max="6144" width="9.1328125" style="2"/>
    <col min="6145" max="6145" width="6.265625" style="2" customWidth="1"/>
    <col min="6146" max="6146" width="25.265625" style="2" customWidth="1"/>
    <col min="6147" max="6147" width="31.3984375" style="2" customWidth="1"/>
    <col min="6148" max="6148" width="31.73046875" style="2" customWidth="1"/>
    <col min="6149" max="6149" width="14.86328125" style="2" customWidth="1"/>
    <col min="6150" max="6150" width="14" style="2" customWidth="1"/>
    <col min="6151" max="6400" width="9.1328125" style="2"/>
    <col min="6401" max="6401" width="6.265625" style="2" customWidth="1"/>
    <col min="6402" max="6402" width="25.265625" style="2" customWidth="1"/>
    <col min="6403" max="6403" width="31.3984375" style="2" customWidth="1"/>
    <col min="6404" max="6404" width="31.73046875" style="2" customWidth="1"/>
    <col min="6405" max="6405" width="14.86328125" style="2" customWidth="1"/>
    <col min="6406" max="6406" width="14" style="2" customWidth="1"/>
    <col min="6407" max="6656" width="9.1328125" style="2"/>
    <col min="6657" max="6657" width="6.265625" style="2" customWidth="1"/>
    <col min="6658" max="6658" width="25.265625" style="2" customWidth="1"/>
    <col min="6659" max="6659" width="31.3984375" style="2" customWidth="1"/>
    <col min="6660" max="6660" width="31.73046875" style="2" customWidth="1"/>
    <col min="6661" max="6661" width="14.86328125" style="2" customWidth="1"/>
    <col min="6662" max="6662" width="14" style="2" customWidth="1"/>
    <col min="6663" max="6912" width="9.1328125" style="2"/>
    <col min="6913" max="6913" width="6.265625" style="2" customWidth="1"/>
    <col min="6914" max="6914" width="25.265625" style="2" customWidth="1"/>
    <col min="6915" max="6915" width="31.3984375" style="2" customWidth="1"/>
    <col min="6916" max="6916" width="31.73046875" style="2" customWidth="1"/>
    <col min="6917" max="6917" width="14.86328125" style="2" customWidth="1"/>
    <col min="6918" max="6918" width="14" style="2" customWidth="1"/>
    <col min="6919" max="7168" width="9.1328125" style="2"/>
    <col min="7169" max="7169" width="6.265625" style="2" customWidth="1"/>
    <col min="7170" max="7170" width="25.265625" style="2" customWidth="1"/>
    <col min="7171" max="7171" width="31.3984375" style="2" customWidth="1"/>
    <col min="7172" max="7172" width="31.73046875" style="2" customWidth="1"/>
    <col min="7173" max="7173" width="14.86328125" style="2" customWidth="1"/>
    <col min="7174" max="7174" width="14" style="2" customWidth="1"/>
    <col min="7175" max="7424" width="9.1328125" style="2"/>
    <col min="7425" max="7425" width="6.265625" style="2" customWidth="1"/>
    <col min="7426" max="7426" width="25.265625" style="2" customWidth="1"/>
    <col min="7427" max="7427" width="31.3984375" style="2" customWidth="1"/>
    <col min="7428" max="7428" width="31.73046875" style="2" customWidth="1"/>
    <col min="7429" max="7429" width="14.86328125" style="2" customWidth="1"/>
    <col min="7430" max="7430" width="14" style="2" customWidth="1"/>
    <col min="7431" max="7680" width="9.1328125" style="2"/>
    <col min="7681" max="7681" width="6.265625" style="2" customWidth="1"/>
    <col min="7682" max="7682" width="25.265625" style="2" customWidth="1"/>
    <col min="7683" max="7683" width="31.3984375" style="2" customWidth="1"/>
    <col min="7684" max="7684" width="31.73046875" style="2" customWidth="1"/>
    <col min="7685" max="7685" width="14.86328125" style="2" customWidth="1"/>
    <col min="7686" max="7686" width="14" style="2" customWidth="1"/>
    <col min="7687" max="7936" width="9.1328125" style="2"/>
    <col min="7937" max="7937" width="6.265625" style="2" customWidth="1"/>
    <col min="7938" max="7938" width="25.265625" style="2" customWidth="1"/>
    <col min="7939" max="7939" width="31.3984375" style="2" customWidth="1"/>
    <col min="7940" max="7940" width="31.73046875" style="2" customWidth="1"/>
    <col min="7941" max="7941" width="14.86328125" style="2" customWidth="1"/>
    <col min="7942" max="7942" width="14" style="2" customWidth="1"/>
    <col min="7943" max="8192" width="9.1328125" style="2"/>
    <col min="8193" max="8193" width="6.265625" style="2" customWidth="1"/>
    <col min="8194" max="8194" width="25.265625" style="2" customWidth="1"/>
    <col min="8195" max="8195" width="31.3984375" style="2" customWidth="1"/>
    <col min="8196" max="8196" width="31.73046875" style="2" customWidth="1"/>
    <col min="8197" max="8197" width="14.86328125" style="2" customWidth="1"/>
    <col min="8198" max="8198" width="14" style="2" customWidth="1"/>
    <col min="8199" max="8448" width="9.1328125" style="2"/>
    <col min="8449" max="8449" width="6.265625" style="2" customWidth="1"/>
    <col min="8450" max="8450" width="25.265625" style="2" customWidth="1"/>
    <col min="8451" max="8451" width="31.3984375" style="2" customWidth="1"/>
    <col min="8452" max="8452" width="31.73046875" style="2" customWidth="1"/>
    <col min="8453" max="8453" width="14.86328125" style="2" customWidth="1"/>
    <col min="8454" max="8454" width="14" style="2" customWidth="1"/>
    <col min="8455" max="8704" width="9.1328125" style="2"/>
    <col min="8705" max="8705" width="6.265625" style="2" customWidth="1"/>
    <col min="8706" max="8706" width="25.265625" style="2" customWidth="1"/>
    <col min="8707" max="8707" width="31.3984375" style="2" customWidth="1"/>
    <col min="8708" max="8708" width="31.73046875" style="2" customWidth="1"/>
    <col min="8709" max="8709" width="14.86328125" style="2" customWidth="1"/>
    <col min="8710" max="8710" width="14" style="2" customWidth="1"/>
    <col min="8711" max="8960" width="9.1328125" style="2"/>
    <col min="8961" max="8961" width="6.265625" style="2" customWidth="1"/>
    <col min="8962" max="8962" width="25.265625" style="2" customWidth="1"/>
    <col min="8963" max="8963" width="31.3984375" style="2" customWidth="1"/>
    <col min="8964" max="8964" width="31.73046875" style="2" customWidth="1"/>
    <col min="8965" max="8965" width="14.86328125" style="2" customWidth="1"/>
    <col min="8966" max="8966" width="14" style="2" customWidth="1"/>
    <col min="8967" max="9216" width="9.1328125" style="2"/>
    <col min="9217" max="9217" width="6.265625" style="2" customWidth="1"/>
    <col min="9218" max="9218" width="25.265625" style="2" customWidth="1"/>
    <col min="9219" max="9219" width="31.3984375" style="2" customWidth="1"/>
    <col min="9220" max="9220" width="31.73046875" style="2" customWidth="1"/>
    <col min="9221" max="9221" width="14.86328125" style="2" customWidth="1"/>
    <col min="9222" max="9222" width="14" style="2" customWidth="1"/>
    <col min="9223" max="9472" width="9.1328125" style="2"/>
    <col min="9473" max="9473" width="6.265625" style="2" customWidth="1"/>
    <col min="9474" max="9474" width="25.265625" style="2" customWidth="1"/>
    <col min="9475" max="9475" width="31.3984375" style="2" customWidth="1"/>
    <col min="9476" max="9476" width="31.73046875" style="2" customWidth="1"/>
    <col min="9477" max="9477" width="14.86328125" style="2" customWidth="1"/>
    <col min="9478" max="9478" width="14" style="2" customWidth="1"/>
    <col min="9479" max="9728" width="9.1328125" style="2"/>
    <col min="9729" max="9729" width="6.265625" style="2" customWidth="1"/>
    <col min="9730" max="9730" width="25.265625" style="2" customWidth="1"/>
    <col min="9731" max="9731" width="31.3984375" style="2" customWidth="1"/>
    <col min="9732" max="9732" width="31.73046875" style="2" customWidth="1"/>
    <col min="9733" max="9733" width="14.86328125" style="2" customWidth="1"/>
    <col min="9734" max="9734" width="14" style="2" customWidth="1"/>
    <col min="9735" max="9984" width="9.1328125" style="2"/>
    <col min="9985" max="9985" width="6.265625" style="2" customWidth="1"/>
    <col min="9986" max="9986" width="25.265625" style="2" customWidth="1"/>
    <col min="9987" max="9987" width="31.3984375" style="2" customWidth="1"/>
    <col min="9988" max="9988" width="31.73046875" style="2" customWidth="1"/>
    <col min="9989" max="9989" width="14.86328125" style="2" customWidth="1"/>
    <col min="9990" max="9990" width="14" style="2" customWidth="1"/>
    <col min="9991" max="10240" width="9.1328125" style="2"/>
    <col min="10241" max="10241" width="6.265625" style="2" customWidth="1"/>
    <col min="10242" max="10242" width="25.265625" style="2" customWidth="1"/>
    <col min="10243" max="10243" width="31.3984375" style="2" customWidth="1"/>
    <col min="10244" max="10244" width="31.73046875" style="2" customWidth="1"/>
    <col min="10245" max="10245" width="14.86328125" style="2" customWidth="1"/>
    <col min="10246" max="10246" width="14" style="2" customWidth="1"/>
    <col min="10247" max="10496" width="9.1328125" style="2"/>
    <col min="10497" max="10497" width="6.265625" style="2" customWidth="1"/>
    <col min="10498" max="10498" width="25.265625" style="2" customWidth="1"/>
    <col min="10499" max="10499" width="31.3984375" style="2" customWidth="1"/>
    <col min="10500" max="10500" width="31.73046875" style="2" customWidth="1"/>
    <col min="10501" max="10501" width="14.86328125" style="2" customWidth="1"/>
    <col min="10502" max="10502" width="14" style="2" customWidth="1"/>
    <col min="10503" max="10752" width="9.1328125" style="2"/>
    <col min="10753" max="10753" width="6.265625" style="2" customWidth="1"/>
    <col min="10754" max="10754" width="25.265625" style="2" customWidth="1"/>
    <col min="10755" max="10755" width="31.3984375" style="2" customWidth="1"/>
    <col min="10756" max="10756" width="31.73046875" style="2" customWidth="1"/>
    <col min="10757" max="10757" width="14.86328125" style="2" customWidth="1"/>
    <col min="10758" max="10758" width="14" style="2" customWidth="1"/>
    <col min="10759" max="11008" width="9.1328125" style="2"/>
    <col min="11009" max="11009" width="6.265625" style="2" customWidth="1"/>
    <col min="11010" max="11010" width="25.265625" style="2" customWidth="1"/>
    <col min="11011" max="11011" width="31.3984375" style="2" customWidth="1"/>
    <col min="11012" max="11012" width="31.73046875" style="2" customWidth="1"/>
    <col min="11013" max="11013" width="14.86328125" style="2" customWidth="1"/>
    <col min="11014" max="11014" width="14" style="2" customWidth="1"/>
    <col min="11015" max="11264" width="9.1328125" style="2"/>
    <col min="11265" max="11265" width="6.265625" style="2" customWidth="1"/>
    <col min="11266" max="11266" width="25.265625" style="2" customWidth="1"/>
    <col min="11267" max="11267" width="31.3984375" style="2" customWidth="1"/>
    <col min="11268" max="11268" width="31.73046875" style="2" customWidth="1"/>
    <col min="11269" max="11269" width="14.86328125" style="2" customWidth="1"/>
    <col min="11270" max="11270" width="14" style="2" customWidth="1"/>
    <col min="11271" max="11520" width="9.1328125" style="2"/>
    <col min="11521" max="11521" width="6.265625" style="2" customWidth="1"/>
    <col min="11522" max="11522" width="25.265625" style="2" customWidth="1"/>
    <col min="11523" max="11523" width="31.3984375" style="2" customWidth="1"/>
    <col min="11524" max="11524" width="31.73046875" style="2" customWidth="1"/>
    <col min="11525" max="11525" width="14.86328125" style="2" customWidth="1"/>
    <col min="11526" max="11526" width="14" style="2" customWidth="1"/>
    <col min="11527" max="11776" width="9.1328125" style="2"/>
    <col min="11777" max="11777" width="6.265625" style="2" customWidth="1"/>
    <col min="11778" max="11778" width="25.265625" style="2" customWidth="1"/>
    <col min="11779" max="11779" width="31.3984375" style="2" customWidth="1"/>
    <col min="11780" max="11780" width="31.73046875" style="2" customWidth="1"/>
    <col min="11781" max="11781" width="14.86328125" style="2" customWidth="1"/>
    <col min="11782" max="11782" width="14" style="2" customWidth="1"/>
    <col min="11783" max="12032" width="9.1328125" style="2"/>
    <col min="12033" max="12033" width="6.265625" style="2" customWidth="1"/>
    <col min="12034" max="12034" width="25.265625" style="2" customWidth="1"/>
    <col min="12035" max="12035" width="31.3984375" style="2" customWidth="1"/>
    <col min="12036" max="12036" width="31.73046875" style="2" customWidth="1"/>
    <col min="12037" max="12037" width="14.86328125" style="2" customWidth="1"/>
    <col min="12038" max="12038" width="14" style="2" customWidth="1"/>
    <col min="12039" max="12288" width="9.1328125" style="2"/>
    <col min="12289" max="12289" width="6.265625" style="2" customWidth="1"/>
    <col min="12290" max="12290" width="25.265625" style="2" customWidth="1"/>
    <col min="12291" max="12291" width="31.3984375" style="2" customWidth="1"/>
    <col min="12292" max="12292" width="31.73046875" style="2" customWidth="1"/>
    <col min="12293" max="12293" width="14.86328125" style="2" customWidth="1"/>
    <col min="12294" max="12294" width="14" style="2" customWidth="1"/>
    <col min="12295" max="12544" width="9.1328125" style="2"/>
    <col min="12545" max="12545" width="6.265625" style="2" customWidth="1"/>
    <col min="12546" max="12546" width="25.265625" style="2" customWidth="1"/>
    <col min="12547" max="12547" width="31.3984375" style="2" customWidth="1"/>
    <col min="12548" max="12548" width="31.73046875" style="2" customWidth="1"/>
    <col min="12549" max="12549" width="14.86328125" style="2" customWidth="1"/>
    <col min="12550" max="12550" width="14" style="2" customWidth="1"/>
    <col min="12551" max="12800" width="9.1328125" style="2"/>
    <col min="12801" max="12801" width="6.265625" style="2" customWidth="1"/>
    <col min="12802" max="12802" width="25.265625" style="2" customWidth="1"/>
    <col min="12803" max="12803" width="31.3984375" style="2" customWidth="1"/>
    <col min="12804" max="12804" width="31.73046875" style="2" customWidth="1"/>
    <col min="12805" max="12805" width="14.86328125" style="2" customWidth="1"/>
    <col min="12806" max="12806" width="14" style="2" customWidth="1"/>
    <col min="12807" max="13056" width="9.1328125" style="2"/>
    <col min="13057" max="13057" width="6.265625" style="2" customWidth="1"/>
    <col min="13058" max="13058" width="25.265625" style="2" customWidth="1"/>
    <col min="13059" max="13059" width="31.3984375" style="2" customWidth="1"/>
    <col min="13060" max="13060" width="31.73046875" style="2" customWidth="1"/>
    <col min="13061" max="13061" width="14.86328125" style="2" customWidth="1"/>
    <col min="13062" max="13062" width="14" style="2" customWidth="1"/>
    <col min="13063" max="13312" width="9.1328125" style="2"/>
    <col min="13313" max="13313" width="6.265625" style="2" customWidth="1"/>
    <col min="13314" max="13314" width="25.265625" style="2" customWidth="1"/>
    <col min="13315" max="13315" width="31.3984375" style="2" customWidth="1"/>
    <col min="13316" max="13316" width="31.73046875" style="2" customWidth="1"/>
    <col min="13317" max="13317" width="14.86328125" style="2" customWidth="1"/>
    <col min="13318" max="13318" width="14" style="2" customWidth="1"/>
    <col min="13319" max="13568" width="9.1328125" style="2"/>
    <col min="13569" max="13569" width="6.265625" style="2" customWidth="1"/>
    <col min="13570" max="13570" width="25.265625" style="2" customWidth="1"/>
    <col min="13571" max="13571" width="31.3984375" style="2" customWidth="1"/>
    <col min="13572" max="13572" width="31.73046875" style="2" customWidth="1"/>
    <col min="13573" max="13573" width="14.86328125" style="2" customWidth="1"/>
    <col min="13574" max="13574" width="14" style="2" customWidth="1"/>
    <col min="13575" max="13824" width="9.1328125" style="2"/>
    <col min="13825" max="13825" width="6.265625" style="2" customWidth="1"/>
    <col min="13826" max="13826" width="25.265625" style="2" customWidth="1"/>
    <col min="13827" max="13827" width="31.3984375" style="2" customWidth="1"/>
    <col min="13828" max="13828" width="31.73046875" style="2" customWidth="1"/>
    <col min="13829" max="13829" width="14.86328125" style="2" customWidth="1"/>
    <col min="13830" max="13830" width="14" style="2" customWidth="1"/>
    <col min="13831" max="14080" width="9.1328125" style="2"/>
    <col min="14081" max="14081" width="6.265625" style="2" customWidth="1"/>
    <col min="14082" max="14082" width="25.265625" style="2" customWidth="1"/>
    <col min="14083" max="14083" width="31.3984375" style="2" customWidth="1"/>
    <col min="14084" max="14084" width="31.73046875" style="2" customWidth="1"/>
    <col min="14085" max="14085" width="14.86328125" style="2" customWidth="1"/>
    <col min="14086" max="14086" width="14" style="2" customWidth="1"/>
    <col min="14087" max="14336" width="9.1328125" style="2"/>
    <col min="14337" max="14337" width="6.265625" style="2" customWidth="1"/>
    <col min="14338" max="14338" width="25.265625" style="2" customWidth="1"/>
    <col min="14339" max="14339" width="31.3984375" style="2" customWidth="1"/>
    <col min="14340" max="14340" width="31.73046875" style="2" customWidth="1"/>
    <col min="14341" max="14341" width="14.86328125" style="2" customWidth="1"/>
    <col min="14342" max="14342" width="14" style="2" customWidth="1"/>
    <col min="14343" max="14592" width="9.1328125" style="2"/>
    <col min="14593" max="14593" width="6.265625" style="2" customWidth="1"/>
    <col min="14594" max="14594" width="25.265625" style="2" customWidth="1"/>
    <col min="14595" max="14595" width="31.3984375" style="2" customWidth="1"/>
    <col min="14596" max="14596" width="31.73046875" style="2" customWidth="1"/>
    <col min="14597" max="14597" width="14.86328125" style="2" customWidth="1"/>
    <col min="14598" max="14598" width="14" style="2" customWidth="1"/>
    <col min="14599" max="14848" width="9.1328125" style="2"/>
    <col min="14849" max="14849" width="6.265625" style="2" customWidth="1"/>
    <col min="14850" max="14850" width="25.265625" style="2" customWidth="1"/>
    <col min="14851" max="14851" width="31.3984375" style="2" customWidth="1"/>
    <col min="14852" max="14852" width="31.73046875" style="2" customWidth="1"/>
    <col min="14853" max="14853" width="14.86328125" style="2" customWidth="1"/>
    <col min="14854" max="14854" width="14" style="2" customWidth="1"/>
    <col min="14855" max="15104" width="9.1328125" style="2"/>
    <col min="15105" max="15105" width="6.265625" style="2" customWidth="1"/>
    <col min="15106" max="15106" width="25.265625" style="2" customWidth="1"/>
    <col min="15107" max="15107" width="31.3984375" style="2" customWidth="1"/>
    <col min="15108" max="15108" width="31.73046875" style="2" customWidth="1"/>
    <col min="15109" max="15109" width="14.86328125" style="2" customWidth="1"/>
    <col min="15110" max="15110" width="14" style="2" customWidth="1"/>
    <col min="15111" max="15360" width="9.1328125" style="2"/>
    <col min="15361" max="15361" width="6.265625" style="2" customWidth="1"/>
    <col min="15362" max="15362" width="25.265625" style="2" customWidth="1"/>
    <col min="15363" max="15363" width="31.3984375" style="2" customWidth="1"/>
    <col min="15364" max="15364" width="31.73046875" style="2" customWidth="1"/>
    <col min="15365" max="15365" width="14.86328125" style="2" customWidth="1"/>
    <col min="15366" max="15366" width="14" style="2" customWidth="1"/>
    <col min="15367" max="15616" width="9.1328125" style="2"/>
    <col min="15617" max="15617" width="6.265625" style="2" customWidth="1"/>
    <col min="15618" max="15618" width="25.265625" style="2" customWidth="1"/>
    <col min="15619" max="15619" width="31.3984375" style="2" customWidth="1"/>
    <col min="15620" max="15620" width="31.73046875" style="2" customWidth="1"/>
    <col min="15621" max="15621" width="14.86328125" style="2" customWidth="1"/>
    <col min="15622" max="15622" width="14" style="2" customWidth="1"/>
    <col min="15623" max="15872" width="9.1328125" style="2"/>
    <col min="15873" max="15873" width="6.265625" style="2" customWidth="1"/>
    <col min="15874" max="15874" width="25.265625" style="2" customWidth="1"/>
    <col min="15875" max="15875" width="31.3984375" style="2" customWidth="1"/>
    <col min="15876" max="15876" width="31.73046875" style="2" customWidth="1"/>
    <col min="15877" max="15877" width="14.86328125" style="2" customWidth="1"/>
    <col min="15878" max="15878" width="14" style="2" customWidth="1"/>
    <col min="15879" max="16128" width="9.1328125" style="2"/>
    <col min="16129" max="16129" width="6.265625" style="2" customWidth="1"/>
    <col min="16130" max="16130" width="25.265625" style="2" customWidth="1"/>
    <col min="16131" max="16131" width="31.3984375" style="2" customWidth="1"/>
    <col min="16132" max="16132" width="31.73046875" style="2" customWidth="1"/>
    <col min="16133" max="16133" width="14.86328125" style="2" customWidth="1"/>
    <col min="16134" max="16134" width="14" style="2" customWidth="1"/>
    <col min="16135" max="16384" width="9.1328125" style="2"/>
  </cols>
  <sheetData>
    <row r="1" spans="1:7">
      <c r="A1" s="13" t="s">
        <v>0</v>
      </c>
      <c r="E1" s="3">
        <f>25/2</f>
        <v>12.5</v>
      </c>
    </row>
    <row r="2" spans="1:7" s="1" customFormat="1" ht="18.399999999999999">
      <c r="A2" s="102" t="s">
        <v>1</v>
      </c>
      <c r="B2" s="102"/>
      <c r="C2" s="102"/>
      <c r="D2" s="102"/>
      <c r="E2" s="102"/>
      <c r="F2" s="102"/>
      <c r="G2" s="5"/>
    </row>
    <row r="3" spans="1:7" s="1" customFormat="1" ht="18" customHeight="1">
      <c r="A3" s="106" t="s">
        <v>2</v>
      </c>
      <c r="B3" s="107"/>
      <c r="C3" s="105"/>
      <c r="D3" s="105"/>
      <c r="E3" s="105"/>
      <c r="F3" s="105"/>
      <c r="G3" s="5"/>
    </row>
    <row r="4" spans="1:7" ht="16.5" customHeight="1">
      <c r="A4" s="106" t="s">
        <v>3</v>
      </c>
      <c r="B4" s="107"/>
      <c r="C4" s="88"/>
      <c r="D4" s="88"/>
      <c r="E4" s="88"/>
      <c r="F4" s="88"/>
      <c r="G4" s="6"/>
    </row>
    <row r="5" spans="1:7" ht="18.75" customHeight="1">
      <c r="A5" s="19" t="s">
        <v>4</v>
      </c>
      <c r="B5" s="20" t="s">
        <v>5</v>
      </c>
      <c r="C5" s="20" t="s">
        <v>6</v>
      </c>
      <c r="D5" s="20" t="s">
        <v>7</v>
      </c>
      <c r="E5" s="19" t="s">
        <v>8</v>
      </c>
      <c r="F5" s="21" t="s">
        <v>9</v>
      </c>
      <c r="G5" s="6"/>
    </row>
    <row r="6" spans="1:7" ht="14.25" customHeight="1">
      <c r="A6" s="98">
        <v>1</v>
      </c>
      <c r="B6" s="90" t="s">
        <v>10</v>
      </c>
      <c r="C6" s="7" t="s">
        <v>11</v>
      </c>
      <c r="D6" s="7" t="s">
        <v>12</v>
      </c>
      <c r="E6" s="17">
        <f>IF(D6="N1",10,IF(D6="N1-",9.5,IF(D6="N2+",9,IF(D6="N2",8,IF(D6="N2-",7.5,IF(D6="N3+",7,IF(D6="N3",6,IF(D6="N3-",5,IF(D6="N4",4,IF(D6="N5",3,0))))))))))</f>
        <v>7</v>
      </c>
      <c r="F6" s="62">
        <v>0.125</v>
      </c>
      <c r="G6" s="6">
        <f>E6*F6</f>
        <v>0.875</v>
      </c>
    </row>
    <row r="7" spans="1:7" ht="14.25" customHeight="1">
      <c r="A7" s="99"/>
      <c r="B7" s="91"/>
      <c r="C7" s="7" t="s">
        <v>13</v>
      </c>
      <c r="D7" s="7" t="s">
        <v>12</v>
      </c>
      <c r="E7" s="17">
        <f>IF(D7="N1",10,IF(D7="N1-",9.5,IF(D7="N2+",9,IF(D7="N2",8,IF(D7="N2-",7.5,IF(D7="N3+",7,IF(D7="N3",6,IF(D7="N3-",5,IF(D7="N4",4,IF(D7="N5",3,0))))))))))</f>
        <v>7</v>
      </c>
      <c r="F7" s="62">
        <v>0.125</v>
      </c>
      <c r="G7" s="6"/>
    </row>
    <row r="8" spans="1:7" ht="14.25" customHeight="1">
      <c r="A8" s="99"/>
      <c r="B8" s="91"/>
      <c r="C8" s="7" t="s">
        <v>14</v>
      </c>
      <c r="D8" s="7" t="s">
        <v>12</v>
      </c>
      <c r="E8" s="17">
        <f>IF(D8="N1",10,IF(D8="N1-",9.5,IF(D8="N2+",9,IF(D8="N2",8,IF(D8="N2-",7.5,IF(D8="N3+",7,IF(D8="N3",6,IF(D8="N3-",5,IF(D8="N4",4,IF(D8="N5",3,0))))))))))</f>
        <v>7</v>
      </c>
      <c r="F8" s="62">
        <v>0.05</v>
      </c>
      <c r="G8" s="6"/>
    </row>
    <row r="9" spans="1:7" ht="14.25" customHeight="1">
      <c r="A9" s="100"/>
      <c r="B9" s="92"/>
      <c r="C9" s="7" t="s">
        <v>15</v>
      </c>
      <c r="D9" s="7" t="s">
        <v>12</v>
      </c>
      <c r="E9" s="17">
        <f>IF(D9="N1",10,IF(D9="N1-",9.5,IF(D9="N2+",9,IF(D9="N2",8,IF(D9="N2-",7.5,IF(D9="N3+",7,IF(D9="N3",6,IF(D9="N3-",5,IF(D9="N4",4,IF(D9="N5",3,0))))))))))</f>
        <v>7</v>
      </c>
      <c r="F9" s="62">
        <v>0.05</v>
      </c>
      <c r="G9" s="6"/>
    </row>
    <row r="10" spans="1:7">
      <c r="A10" s="64">
        <v>2</v>
      </c>
      <c r="B10" s="8" t="s">
        <v>16</v>
      </c>
      <c r="C10" s="7" t="s">
        <v>17</v>
      </c>
      <c r="D10" s="11"/>
      <c r="E10" s="17">
        <f>IF(C10="Elementary",2.5,IF(C10="Intermediate",5,IF(C10="Advanced",8,IF(C10="Proficiency",10,0))))</f>
        <v>5</v>
      </c>
      <c r="F10" s="62">
        <v>0.05</v>
      </c>
      <c r="G10" s="6">
        <f t="shared" ref="G10:G27" si="0">E10*F10</f>
        <v>0.25</v>
      </c>
    </row>
    <row r="11" spans="1:7" ht="14.25" customHeight="1">
      <c r="A11" s="64">
        <v>3</v>
      </c>
      <c r="B11" s="8" t="s">
        <v>18</v>
      </c>
      <c r="C11" s="7" t="s">
        <v>19</v>
      </c>
      <c r="D11" s="11" t="s">
        <v>20</v>
      </c>
      <c r="E11" s="93" t="e">
        <f>IF(C12=Reference!#REF!,Reference!#REF!,IF(C12=Reference!#REF!,Reference!#REF!,IF(Senior!C12=Reference!#REF!,Reference!#REF!,IF(Senior!C12=Reference!#REF!,Reference!#REF!,IF(C12=Reference!#REF!,Reference!#REF!,IF(C12=Reference!#REF!,Reference!#REF!,IF(C12=Reference!#REF!,Reference!#REF!,0)))))))</f>
        <v>#REF!</v>
      </c>
      <c r="F11" s="89">
        <v>0.05</v>
      </c>
      <c r="G11" s="6" t="e">
        <f>E11*F11</f>
        <v>#REF!</v>
      </c>
    </row>
    <row r="12" spans="1:7" ht="14.25" customHeight="1">
      <c r="A12" s="64">
        <v>4</v>
      </c>
      <c r="B12" s="65" t="s">
        <v>21</v>
      </c>
      <c r="C12" s="14" t="s">
        <v>22</v>
      </c>
      <c r="D12" s="11" t="s">
        <v>23</v>
      </c>
      <c r="E12" s="94"/>
      <c r="F12" s="89"/>
      <c r="G12" s="6" t="e">
        <f>E11*F12</f>
        <v>#REF!</v>
      </c>
    </row>
    <row r="13" spans="1:7" ht="14.25" customHeight="1">
      <c r="A13" s="64">
        <v>5</v>
      </c>
      <c r="B13" s="65" t="s">
        <v>24</v>
      </c>
      <c r="C13" s="14" t="s">
        <v>25</v>
      </c>
      <c r="D13" s="11" t="s">
        <v>26</v>
      </c>
      <c r="E13" s="17" t="e">
        <f>IF(C13=Reference!#REF!,Reference!#REF!,IF(C13=Reference!#REF!,Reference!#REF!,IF(Senior!C13=Reference!#REF!,Reference!#REF!,IF(Senior!C13=Reference!#REF!,Reference!#REF!,IF(C13=Reference!#REF!,Reference!#REF!,IF(C13=Reference!#REF!,Reference!#REF!,IF(C13=Reference!#REF!,Reference!#REF!,0)))))))</f>
        <v>#REF!</v>
      </c>
      <c r="F13" s="62">
        <v>0.05</v>
      </c>
      <c r="G13" s="6" t="e">
        <f t="shared" si="0"/>
        <v>#REF!</v>
      </c>
    </row>
    <row r="14" spans="1:7" ht="63.75" customHeight="1">
      <c r="A14" s="98">
        <v>6</v>
      </c>
      <c r="B14" s="90" t="s">
        <v>27</v>
      </c>
      <c r="C14" s="7" t="s">
        <v>28</v>
      </c>
      <c r="D14" s="18" t="s">
        <v>29</v>
      </c>
      <c r="E14" s="93" t="e">
        <f>E16*10%+E17*50%+E18*20%+E19*20%+E20+E21</f>
        <v>#REF!</v>
      </c>
      <c r="F14" s="95">
        <v>0.35</v>
      </c>
      <c r="G14" s="101" t="e">
        <f>E14*F14</f>
        <v>#REF!</v>
      </c>
    </row>
    <row r="15" spans="1:7" ht="137.44999999999999" customHeight="1">
      <c r="A15" s="100"/>
      <c r="B15" s="92"/>
      <c r="C15" s="7" t="s">
        <v>30</v>
      </c>
      <c r="D15" s="18" t="s">
        <v>31</v>
      </c>
      <c r="E15" s="94"/>
      <c r="F15" s="96"/>
      <c r="G15" s="101"/>
    </row>
    <row r="16" spans="1:7">
      <c r="A16" s="98">
        <v>7</v>
      </c>
      <c r="B16" s="90" t="s">
        <v>32</v>
      </c>
      <c r="C16" s="7" t="s">
        <v>33</v>
      </c>
      <c r="D16" s="11" t="s">
        <v>34</v>
      </c>
      <c r="E16" s="63" t="e">
        <f>VLOOKUP(D16,Reference!#REF!,2,0)</f>
        <v>#REF!</v>
      </c>
      <c r="F16" s="96"/>
      <c r="G16" s="101"/>
    </row>
    <row r="17" spans="1:7">
      <c r="A17" s="99"/>
      <c r="B17" s="91"/>
      <c r="C17" s="7" t="s">
        <v>35</v>
      </c>
      <c r="D17" s="11" t="s">
        <v>36</v>
      </c>
      <c r="E17" s="63" t="e">
        <f>VLOOKUP(D17,Reference!#REF!,2,0)</f>
        <v>#REF!</v>
      </c>
      <c r="F17" s="96"/>
      <c r="G17" s="101"/>
    </row>
    <row r="18" spans="1:7">
      <c r="A18" s="99"/>
      <c r="B18" s="91"/>
      <c r="C18" s="7" t="s">
        <v>37</v>
      </c>
      <c r="D18" s="11" t="s">
        <v>38</v>
      </c>
      <c r="E18" s="63" t="e">
        <f>VLOOKUP(D18,Reference!#REF!,2,0)</f>
        <v>#REF!</v>
      </c>
      <c r="F18" s="96"/>
      <c r="G18" s="101"/>
    </row>
    <row r="19" spans="1:7">
      <c r="A19" s="99"/>
      <c r="B19" s="91"/>
      <c r="C19" s="7" t="s">
        <v>39</v>
      </c>
      <c r="D19" s="11" t="s">
        <v>40</v>
      </c>
      <c r="E19" s="17" t="e">
        <f>VLOOKUP(D19,Reference!#REF!,2,0)</f>
        <v>#REF!</v>
      </c>
      <c r="F19" s="96"/>
      <c r="G19" s="101"/>
    </row>
    <row r="20" spans="1:7">
      <c r="A20" s="99"/>
      <c r="B20" s="91"/>
      <c r="C20" s="7" t="s">
        <v>41</v>
      </c>
      <c r="D20" s="11" t="s">
        <v>42</v>
      </c>
      <c r="E20" s="17" t="e">
        <f>VLOOKUP(D20,Reference!#REF!,2,FALSE)</f>
        <v>#REF!</v>
      </c>
      <c r="F20" s="96"/>
      <c r="G20" s="24"/>
    </row>
    <row r="21" spans="1:7">
      <c r="A21" s="100"/>
      <c r="B21" s="92"/>
      <c r="C21" s="7" t="s">
        <v>43</v>
      </c>
      <c r="D21" s="11" t="s">
        <v>42</v>
      </c>
      <c r="E21" s="17" t="e">
        <f>VLOOKUP(D21,Reference!#REF!,2,FALSE)</f>
        <v>#REF!</v>
      </c>
      <c r="F21" s="97"/>
      <c r="G21" s="24"/>
    </row>
    <row r="22" spans="1:7">
      <c r="A22" s="103">
        <v>8</v>
      </c>
      <c r="B22" s="104" t="s">
        <v>44</v>
      </c>
      <c r="C22" s="7" t="s">
        <v>45</v>
      </c>
      <c r="D22" s="11" t="s">
        <v>46</v>
      </c>
      <c r="E22" s="12">
        <v>5</v>
      </c>
      <c r="F22" s="62">
        <v>0.03</v>
      </c>
      <c r="G22" s="6">
        <f t="shared" si="0"/>
        <v>0.15</v>
      </c>
    </row>
    <row r="23" spans="1:7">
      <c r="A23" s="103"/>
      <c r="B23" s="104"/>
      <c r="C23" s="7" t="s">
        <v>47</v>
      </c>
      <c r="D23" s="11" t="s">
        <v>48</v>
      </c>
      <c r="E23" s="12">
        <v>5</v>
      </c>
      <c r="F23" s="62">
        <v>0.02</v>
      </c>
      <c r="G23" s="6">
        <f t="shared" si="0"/>
        <v>0.1</v>
      </c>
    </row>
    <row r="24" spans="1:7">
      <c r="A24" s="103"/>
      <c r="B24" s="104"/>
      <c r="C24" s="7" t="s">
        <v>49</v>
      </c>
      <c r="D24" s="11" t="s">
        <v>48</v>
      </c>
      <c r="E24" s="12">
        <v>5</v>
      </c>
      <c r="F24" s="62">
        <v>0.02</v>
      </c>
      <c r="G24" s="6">
        <f t="shared" si="0"/>
        <v>0.1</v>
      </c>
    </row>
    <row r="25" spans="1:7" ht="22.5">
      <c r="A25" s="98">
        <v>9</v>
      </c>
      <c r="B25" s="90" t="s">
        <v>50</v>
      </c>
      <c r="C25" s="7" t="s">
        <v>51</v>
      </c>
      <c r="D25" s="11" t="s">
        <v>52</v>
      </c>
      <c r="E25" s="12">
        <v>5</v>
      </c>
      <c r="F25" s="62">
        <v>0.03</v>
      </c>
      <c r="G25" s="6">
        <f t="shared" si="0"/>
        <v>0.15</v>
      </c>
    </row>
    <row r="26" spans="1:7">
      <c r="A26" s="99"/>
      <c r="B26" s="91"/>
      <c r="C26" s="7" t="s">
        <v>53</v>
      </c>
      <c r="D26" s="11" t="s">
        <v>54</v>
      </c>
      <c r="E26" s="12">
        <v>5</v>
      </c>
      <c r="F26" s="62">
        <v>0.03</v>
      </c>
      <c r="G26" s="6">
        <f t="shared" si="0"/>
        <v>0.15</v>
      </c>
    </row>
    <row r="27" spans="1:7" ht="22.5">
      <c r="A27" s="100"/>
      <c r="B27" s="92"/>
      <c r="C27" s="7" t="s">
        <v>55</v>
      </c>
      <c r="D27" s="11" t="s">
        <v>56</v>
      </c>
      <c r="E27" s="12">
        <v>5</v>
      </c>
      <c r="F27" s="62">
        <v>0.02</v>
      </c>
      <c r="G27" s="6">
        <f t="shared" si="0"/>
        <v>0.1</v>
      </c>
    </row>
    <row r="28" spans="1:7" ht="14.45" customHeight="1">
      <c r="A28" s="82" t="s">
        <v>57</v>
      </c>
      <c r="B28" s="83"/>
      <c r="C28" s="83"/>
      <c r="D28" s="84"/>
      <c r="E28" s="64" t="e">
        <f>E6*F6+E7*F7+E8*F8+E9*F9+E10*F10+E11*F11+E13*F13+E14*F14+E22*F22+E23*F23+E24*F24+E25*F25+E26*F26+E27*F27</f>
        <v>#REF!</v>
      </c>
      <c r="F28" s="9">
        <f>SUM(F6:F27)</f>
        <v>1</v>
      </c>
      <c r="G28" s="6"/>
    </row>
    <row r="29" spans="1:7" ht="14.45" customHeight="1">
      <c r="A29" s="82" t="s">
        <v>58</v>
      </c>
      <c r="B29" s="83"/>
      <c r="C29" s="83"/>
      <c r="D29" s="84"/>
      <c r="E29" s="87" t="e">
        <f>IF(E28&lt;5,"FAIL",IF(E28&gt;6,"PASS","CONSIDER"))</f>
        <v>#REF!</v>
      </c>
      <c r="F29" s="87"/>
      <c r="G29" s="6"/>
    </row>
    <row r="30" spans="1:7" ht="15" customHeight="1">
      <c r="A30" s="85" t="s">
        <v>59</v>
      </c>
      <c r="B30" s="86"/>
      <c r="C30" s="22"/>
      <c r="D30" s="23"/>
      <c r="E30" s="22"/>
      <c r="F30" s="23"/>
      <c r="G30" s="6"/>
    </row>
    <row r="31" spans="1:7" ht="12.4" customHeight="1">
      <c r="A31" s="15">
        <v>10</v>
      </c>
      <c r="B31" s="10" t="s">
        <v>60</v>
      </c>
      <c r="C31" s="79" t="s">
        <v>61</v>
      </c>
      <c r="D31" s="80"/>
      <c r="E31" s="80"/>
      <c r="F31" s="81"/>
    </row>
    <row r="32" spans="1:7" ht="12.75" customHeight="1">
      <c r="A32" s="15">
        <v>11</v>
      </c>
      <c r="B32" s="16" t="s">
        <v>62</v>
      </c>
      <c r="C32" s="79" t="s">
        <v>63</v>
      </c>
      <c r="D32" s="80"/>
      <c r="E32" s="80"/>
      <c r="F32" s="81"/>
    </row>
    <row r="33" spans="1:6" ht="12.4" customHeight="1">
      <c r="A33" s="15">
        <v>12</v>
      </c>
      <c r="B33" s="16" t="s">
        <v>64</v>
      </c>
      <c r="C33" s="79" t="s">
        <v>65</v>
      </c>
      <c r="D33" s="80"/>
      <c r="E33" s="80"/>
      <c r="F33" s="81"/>
    </row>
    <row r="34" spans="1:6" ht="12.4" customHeight="1">
      <c r="A34" s="15">
        <v>13</v>
      </c>
      <c r="B34" s="16" t="s">
        <v>66</v>
      </c>
      <c r="C34" s="79" t="s">
        <v>67</v>
      </c>
      <c r="D34" s="80"/>
      <c r="E34" s="80"/>
      <c r="F34" s="81"/>
    </row>
    <row r="35" spans="1:6" ht="14.25" customHeight="1">
      <c r="A35" s="15">
        <v>14</v>
      </c>
      <c r="B35" s="16" t="s">
        <v>68</v>
      </c>
      <c r="C35" s="79" t="s">
        <v>69</v>
      </c>
      <c r="D35" s="80"/>
      <c r="E35" s="80"/>
      <c r="F35" s="81"/>
    </row>
    <row r="36" spans="1:6" ht="14.25" customHeight="1">
      <c r="A36" s="15">
        <v>15</v>
      </c>
      <c r="B36" s="16" t="s">
        <v>70</v>
      </c>
      <c r="C36" s="79" t="s">
        <v>71</v>
      </c>
      <c r="D36" s="80"/>
      <c r="E36" s="80"/>
      <c r="F36" s="81"/>
    </row>
    <row r="37" spans="1:6" ht="15.75" customHeight="1">
      <c r="A37" s="15">
        <v>16</v>
      </c>
      <c r="B37" s="16" t="s">
        <v>72</v>
      </c>
      <c r="C37" s="79"/>
      <c r="D37" s="80"/>
      <c r="E37" s="80"/>
      <c r="F37" s="81"/>
    </row>
  </sheetData>
  <protectedRanges>
    <protectedRange algorithmName="SHA-512" hashValue="EpZeDOzArZHn4GSAOGDIe8BveZ/g71OU9ac8FpGXIM7x9ycAuQ9PZEI9z7YVG69ySDjWfbijTq6ioWOpgVEqMw==" saltValue="CFoHNuPy8bMady5KH/UQHQ==" spinCount="100000" sqref="E13:E14 E16:E21 E6:E11" name="RA"/>
  </protectedRanges>
  <mergeCells count="31">
    <mergeCell ref="G14:G19"/>
    <mergeCell ref="C36:F36"/>
    <mergeCell ref="A2:F2"/>
    <mergeCell ref="A22:A24"/>
    <mergeCell ref="C34:F34"/>
    <mergeCell ref="C35:F35"/>
    <mergeCell ref="B22:B24"/>
    <mergeCell ref="C31:F31"/>
    <mergeCell ref="E11:E12"/>
    <mergeCell ref="C3:F3"/>
    <mergeCell ref="C33:F33"/>
    <mergeCell ref="A16:A21"/>
    <mergeCell ref="A3:B3"/>
    <mergeCell ref="A4:B4"/>
    <mergeCell ref="A14:A15"/>
    <mergeCell ref="A25:A27"/>
    <mergeCell ref="A28:D28"/>
    <mergeCell ref="C4:F4"/>
    <mergeCell ref="F11:F12"/>
    <mergeCell ref="B25:B27"/>
    <mergeCell ref="B14:B15"/>
    <mergeCell ref="E14:E15"/>
    <mergeCell ref="B16:B21"/>
    <mergeCell ref="F14:F21"/>
    <mergeCell ref="A6:A9"/>
    <mergeCell ref="B6:B9"/>
    <mergeCell ref="C37:F37"/>
    <mergeCell ref="A29:D29"/>
    <mergeCell ref="A30:B30"/>
    <mergeCell ref="C32:F32"/>
    <mergeCell ref="E29:F29"/>
  </mergeCells>
  <phoneticPr fontId="17"/>
  <conditionalFormatting sqref="E22:E27 C22:C27 C6:C18 E6:E10">
    <cfRule type="containsBlanks" dxfId="69" priority="123">
      <formula>LEN(TRIM(C6))=0</formula>
    </cfRule>
  </conditionalFormatting>
  <conditionalFormatting sqref="C3:C4">
    <cfRule type="containsBlanks" dxfId="68" priority="122">
      <formula>LEN(TRIM(C3))=0</formula>
    </cfRule>
  </conditionalFormatting>
  <conditionalFormatting sqref="C31:F37">
    <cfRule type="containsBlanks" dxfId="67" priority="118">
      <formula>LEN(TRIM(C31))=0</formula>
    </cfRule>
  </conditionalFormatting>
  <conditionalFormatting sqref="D13 D16:D18 D22:D26">
    <cfRule type="containsBlanks" dxfId="66" priority="116">
      <formula>LEN(TRIM(D13))=0</formula>
    </cfRule>
    <cfRule type="cellIs" dxfId="65" priority="117" operator="equal">
      <formula>"Ghi rõ tên tất cả các trường đã TN và năm TN"</formula>
    </cfRule>
  </conditionalFormatting>
  <conditionalFormatting sqref="D13">
    <cfRule type="containsBlanks" dxfId="64" priority="109">
      <formula>LEN(TRIM(D13))=0</formula>
    </cfRule>
    <cfRule type="cellIs" dxfId="63" priority="110" operator="equal">
      <formula>"Ghi chính xác số năm kinh nghiệm làm việc ở Nhật"</formula>
    </cfRule>
    <cfRule type="cellIs" priority="111" operator="equal">
      <formula>"Ghi chính xác số năm kinh nghiệm làm việc ở Nhật"</formula>
    </cfRule>
  </conditionalFormatting>
  <conditionalFormatting sqref="D10">
    <cfRule type="cellIs" dxfId="62" priority="13" operator="equal">
      <formula>"Ghi rõ số điểm TOEIC, IELS nếu có và đánh giá chi tiết 4 kĩ năng: Nghe, nói, đọc, viết"</formula>
    </cfRule>
    <cfRule type="cellIs" dxfId="61" priority="70" operator="equal">
      <formula>"Ghi rõ ngôn ngữ đã làm thật trong dự án và số năm kinh nghiệm. VD 2 năm Java front end Springs, 4 năm .NET, 0.5 Python. Oracle làm nhiều, MySQL ít. Các nhận xét khác của interviewer"</formula>
    </cfRule>
    <cfRule type="cellIs" dxfId="60" priority="71" operator="equal">
      <formula>"Ghi rõ ngôn ngữ đã làm thật trong dự án và số năm kinh nghiệm. VD 2 năm Java front end Springs, 4 năm .NET, 0.5 Python. Oracle làm nhiều, MySQL ít. Các nhận xét khác của interviewer"</formula>
    </cfRule>
    <cfRule type="containsBlanks" dxfId="59" priority="98">
      <formula>LEN(TRIM(D10))=0</formula>
    </cfRule>
    <cfRule type="cellIs" dxfId="58" priority="99" operator="equal">
      <formula>"Đánh giá chi tiết 4 kĩ năng: Nghe, nói, đọc, viết"</formula>
    </cfRule>
  </conditionalFormatting>
  <conditionalFormatting sqref="D16:D18">
    <cfRule type="containsBlanks" dxfId="57" priority="68">
      <formula>LEN(TRIM(D16))=0</formula>
    </cfRule>
    <cfRule type="cellIs" dxfId="56" priority="69" operator="equal">
      <formula>"Ghi rõ ngôn ngữ đã làm thật trong dự án và số năm kinh nghiệm. VD 2 năm Java front end Springs, 4 năm .NET, 0.5 Python. Oracle làm nhiều, MySQL ít. Các nhận xét khác của interviewer"</formula>
    </cfRule>
    <cfRule type="containsBlanks" priority="78">
      <formula>LEN(TRIM(D16))=0</formula>
    </cfRule>
    <cfRule type="cellIs" dxfId="55" priority="79" operator="equal">
      <formula>"Ghi rõ ngôn ngữ đã làm thật trong dự án và số năm kinh nghiệm. VD 2 năm Java, 4 năm .NET, 0.5 Python. Các nhận xét khác của interviewer"</formula>
    </cfRule>
    <cfRule type="cellIs" dxfId="54" priority="97" operator="equal">
      <formula>"Đề nghị ghi chi tiết: ví dụ: Jave web, backend/front end/ Winapp..."</formula>
    </cfRule>
  </conditionalFormatting>
  <conditionalFormatting sqref="C27">
    <cfRule type="cellIs" dxfId="53" priority="96" operator="equal">
      <formula>"Đề nghị ghi chi tiết: ví dụ: Jave web, backend/front end/ Winapp…"</formula>
    </cfRule>
  </conditionalFormatting>
  <conditionalFormatting sqref="D22">
    <cfRule type="containsBlanks" dxfId="52" priority="58">
      <formula>LEN(TRIM(D22))=0</formula>
    </cfRule>
    <cfRule type="cellIs" dxfId="51" priority="59" operator="equal">
      <formula>"Ghi rõ nhận xét của interviewer. Thang điểm 10"</formula>
    </cfRule>
    <cfRule type="containsBlanks" dxfId="50" priority="92">
      <formula>LEN(TRIM(D22))=0</formula>
    </cfRule>
    <cfRule type="cellIs" dxfId="49" priority="95" operator="equal">
      <formula>"Ghi rõ nhận xét của interviewer"</formula>
    </cfRule>
  </conditionalFormatting>
  <conditionalFormatting sqref="D23">
    <cfRule type="cellIs" dxfId="48" priority="94" operator="equal">
      <formula>"Ghi rõ nhận xét của interviewer"</formula>
    </cfRule>
  </conditionalFormatting>
  <conditionalFormatting sqref="D24">
    <cfRule type="cellIs" dxfId="47" priority="93" operator="equal">
      <formula>"Ghi rõ nhận xét của interviewer"</formula>
    </cfRule>
  </conditionalFormatting>
  <conditionalFormatting sqref="D23">
    <cfRule type="containsBlanks" dxfId="46" priority="90">
      <formula>LEN(TRIM(D23))=0</formula>
    </cfRule>
    <cfRule type="cellIs" dxfId="45" priority="91" operator="equal">
      <formula>"Ghi rõ nhận xét của interviewer"</formula>
    </cfRule>
  </conditionalFormatting>
  <conditionalFormatting sqref="D24">
    <cfRule type="containsBlanks" dxfId="44" priority="88">
      <formula>LEN(TRIM(D24))=0</formula>
    </cfRule>
    <cfRule type="cellIs" dxfId="43" priority="89" operator="equal">
      <formula>"Ghi rõ nhận xét của interviewer"</formula>
    </cfRule>
  </conditionalFormatting>
  <conditionalFormatting sqref="C37:F37">
    <cfRule type="containsBlanks" dxfId="42" priority="63">
      <formula>LEN(TRIM(C37))=0</formula>
    </cfRule>
    <cfRule type="cellIs" dxfId="41" priority="64" operator="equal">
      <formula>"Đề nghị ghi chi tiết. VD Java web, backend, front end, Winapp…, 3 năm dự án ngân hàng, ERP…"</formula>
    </cfRule>
    <cfRule type="cellIs" priority="65" operator="equal">
      <formula>"Đề nghị ghi chi tiết. VD Java web, backend, front end, Winapp…, 3 năm dự án ngân hàng, ERP…"</formula>
    </cfRule>
    <cfRule type="containsBlanks" dxfId="40" priority="86">
      <formula>LEN(TRIM(C37))=0</formula>
    </cfRule>
    <cfRule type="cellIs" dxfId="39" priority="87" operator="equal">
      <formula>"Đề nghị ghi chi tiết. VD Java web, backend, front end, Winapp…"</formula>
    </cfRule>
  </conditionalFormatting>
  <conditionalFormatting sqref="D25:D26">
    <cfRule type="containsBlanks" dxfId="38" priority="76">
      <formula>LEN(TRIM(D25))=0</formula>
    </cfRule>
    <cfRule type="cellIs" dxfId="37" priority="77" operator="equal">
      <formula>"Làm việc ở vùng nào cũng được 10 điểm. Ghi rõ địa điểm có thể làm việc được"</formula>
    </cfRule>
  </conditionalFormatting>
  <conditionalFormatting sqref="C32:F32">
    <cfRule type="containsBlanks" dxfId="36" priority="66">
      <formula>LEN(TRIM(C32))=0</formula>
    </cfRule>
    <cfRule type="cellIs" dxfId="35" priority="67" operator="equal">
      <formula>"Chú ý nếu UV không có bằng ĐH thì phải hỏi có chứng chỉ FE hoặc 10 năm kinh nghiệm IT không?"</formula>
    </cfRule>
  </conditionalFormatting>
  <conditionalFormatting sqref="D23">
    <cfRule type="containsBlanks" dxfId="34" priority="54">
      <formula>LEN(TRIM(D23))=0</formula>
    </cfRule>
    <cfRule type="cellIs" dxfId="33" priority="55" operator="equal">
      <formula>"Ghi rõ nhận xét của interviewer. Thang điểm 10"</formula>
    </cfRule>
    <cfRule type="containsBlanks" dxfId="32" priority="56">
      <formula>LEN(TRIM(D23))=0</formula>
    </cfRule>
    <cfRule type="cellIs" dxfId="31" priority="57" operator="equal">
      <formula>"Ghi rõ nhận xét của interviewer"</formula>
    </cfRule>
  </conditionalFormatting>
  <conditionalFormatting sqref="D24">
    <cfRule type="containsBlanks" dxfId="30" priority="50">
      <formula>LEN(TRIM(D24))=0</formula>
    </cfRule>
    <cfRule type="cellIs" dxfId="29" priority="51" operator="equal">
      <formula>"Ghi rõ nhận xét của interviewer. Thang điểm 10"</formula>
    </cfRule>
    <cfRule type="containsBlanks" dxfId="28" priority="52">
      <formula>LEN(TRIM(D24))=0</formula>
    </cfRule>
    <cfRule type="cellIs" dxfId="27" priority="53" operator="equal">
      <formula>"Ghi rõ nhận xét của interviewer"</formula>
    </cfRule>
  </conditionalFormatting>
  <conditionalFormatting sqref="E11">
    <cfRule type="containsBlanks" dxfId="26" priority="44">
      <formula>LEN(TRIM(E11))=0</formula>
    </cfRule>
  </conditionalFormatting>
  <conditionalFormatting sqref="D14:D15">
    <cfRule type="containsBlanks" dxfId="25" priority="42">
      <formula>LEN(TRIM(D14))=0</formula>
    </cfRule>
    <cfRule type="cellIs" dxfId="24" priority="43" operator="equal">
      <formula>"Ghi rõ tên tất cả các trường đã TN và năm TN"</formula>
    </cfRule>
  </conditionalFormatting>
  <conditionalFormatting sqref="D14:D15">
    <cfRule type="containsBlanks" dxfId="23" priority="39">
      <formula>LEN(TRIM(D14))=0</formula>
    </cfRule>
    <cfRule type="cellIs" dxfId="22" priority="40" operator="equal">
      <formula>"Ghi chính xác số năm kinh nghiệm làm việc ở Nhật"</formula>
    </cfRule>
    <cfRule type="cellIs" priority="41" operator="equal">
      <formula>"Ghi chính xác số năm kinh nghiệm làm việc ở Nhật"</formula>
    </cfRule>
  </conditionalFormatting>
  <conditionalFormatting sqref="D11:D12">
    <cfRule type="cellIs" dxfId="21" priority="35" operator="equal">
      <formula>"Ghi rõ ngôn ngữ đã làm thật trong dự án và số năm kinh nghiệm. VD 2 năm Java front end Springs, 4 năm .NET, 0.5 Python. Oracle làm nhiều, MySQL ít. Các nhận xét khác của interviewer"</formula>
    </cfRule>
    <cfRule type="cellIs" dxfId="20" priority="36" operator="equal">
      <formula>"Ghi rõ ngôn ngữ đã làm thật trong dự án và số năm kinh nghiệm. VD 2 năm Java front end Springs, 4 năm .NET, 0.5 Python. Oracle làm nhiều, MySQL ít. Các nhận xét khác của interviewer"</formula>
    </cfRule>
    <cfRule type="containsBlanks" dxfId="19" priority="37">
      <formula>LEN(TRIM(D11))=0</formula>
    </cfRule>
    <cfRule type="cellIs" dxfId="18" priority="38" operator="equal">
      <formula>"Đánh giá chi tiết 4 kĩ năng: Nghe, nói, đọc, viết"</formula>
    </cfRule>
  </conditionalFormatting>
  <conditionalFormatting sqref="D11">
    <cfRule type="cellIs" dxfId="17" priority="34" operator="equal">
      <formula>"Ghi rõ tên tất cả các trường đã TN và năm TN"</formula>
    </cfRule>
  </conditionalFormatting>
  <conditionalFormatting sqref="D12">
    <cfRule type="cellIs" dxfId="16" priority="33" operator="equal">
      <formula>"Ghi chính xác số năm kinh nghiệm trong lĩnh vực IT"</formula>
    </cfRule>
  </conditionalFormatting>
  <conditionalFormatting sqref="C26">
    <cfRule type="cellIs" dxfId="15" priority="29" operator="equal">
      <formula>"Đề nghị ghi chi tiết: ví dụ: Jave web, backend/front end/ Winapp…"</formula>
    </cfRule>
  </conditionalFormatting>
  <conditionalFormatting sqref="D26">
    <cfRule type="cellIs" dxfId="14" priority="28" operator="equal">
      <formula>"Ghi rõ số năm và chi tiết kinh nghiệm làm việc tại FSOFT"</formula>
    </cfRule>
  </conditionalFormatting>
  <conditionalFormatting sqref="D27">
    <cfRule type="cellIs" dxfId="13" priority="27" operator="equal">
      <formula>"Ghi rõ skil hiếm hoặc khó hoặc có mặt bằng lương cao mà ứng viên sở hữu. VD Python, Ruby, Machine Learning…"</formula>
    </cfRule>
  </conditionalFormatting>
  <conditionalFormatting sqref="C31:F31">
    <cfRule type="cellIs" dxfId="12" priority="20" operator="equal">
      <formula>"Ghi rõ nơi ở hiện tại của ứng viên, vd Đà Nẵng, Nagoya…"</formula>
    </cfRule>
  </conditionalFormatting>
  <conditionalFormatting sqref="C33:F33">
    <cfRule type="cellIs" dxfId="11" priority="19" operator="equal">
      <formula>"Ngày ứng vien có thể bắt đầu làm việc nếu pass"</formula>
    </cfRule>
  </conditionalFormatting>
  <conditionalFormatting sqref="C34:F34">
    <cfRule type="cellIs" dxfId="10" priority="17" operator="equal">
      <formula>"Tình trạng gia đình, vd vợ đang đi làm ở Hàn, 2 con ở VN với ông bà"</formula>
    </cfRule>
    <cfRule type="cellIs" dxfId="9" priority="18" operator="equal">
      <formula>"Tình trạng gia đình, vd 1 vợ đang đi làm ở Hàn, 2 con ở VN với ông bà"</formula>
    </cfRule>
  </conditionalFormatting>
  <conditionalFormatting sqref="C35:F35">
    <cfRule type="cellIs" dxfId="8" priority="16" operator="equal">
      <formula>"Mong muốn sang Nhật bao lâu, vd muốn sang Nhật 3 năm, vợ con vẫn ở VN hoặc muốn định cư cả gia đình tại Nhật…"</formula>
    </cfRule>
  </conditionalFormatting>
  <conditionalFormatting sqref="C36:F36">
    <cfRule type="cellIs" dxfId="7" priority="15" operator="equal">
      <formula>"Vị trí mong muốn, vd BrSE theo hướng có offshore hoặc SE focus vào kỹ thuật mới hoặc chỉ muốn làm trong lĩnh vực tài chính…"</formula>
    </cfRule>
  </conditionalFormatting>
  <conditionalFormatting sqref="C19:C21">
    <cfRule type="containsBlanks" dxfId="6" priority="7">
      <formula>LEN(TRIM(C19))=0</formula>
    </cfRule>
  </conditionalFormatting>
  <conditionalFormatting sqref="D19:D21">
    <cfRule type="containsBlanks" dxfId="5" priority="5">
      <formula>LEN(TRIM(D19))=0</formula>
    </cfRule>
    <cfRule type="cellIs" dxfId="4" priority="6" operator="equal">
      <formula>"Ghi rõ tên tất cả các trường đã TN và năm TN"</formula>
    </cfRule>
  </conditionalFormatting>
  <conditionalFormatting sqref="D6">
    <cfRule type="containsBlanks" dxfId="3" priority="4">
      <formula>LEN(TRIM(D6))=0</formula>
    </cfRule>
  </conditionalFormatting>
  <conditionalFormatting sqref="D7">
    <cfRule type="containsBlanks" dxfId="2" priority="3">
      <formula>LEN(TRIM(D7))=0</formula>
    </cfRule>
  </conditionalFormatting>
  <conditionalFormatting sqref="D8">
    <cfRule type="containsBlanks" dxfId="1" priority="2">
      <formula>LEN(TRIM(D8))=0</formula>
    </cfRule>
  </conditionalFormatting>
  <conditionalFormatting sqref="D9">
    <cfRule type="containsBlanks" dxfId="0" priority="1">
      <formula>LEN(TRIM(D9))=0</formula>
    </cfRule>
  </conditionalFormatting>
  <dataValidations count="6">
    <dataValidation type="list" allowBlank="1" showInputMessage="1" showErrorMessage="1" prompt="N1_x000a_N1-" sqref="D6:D9">
      <formula1>"N1, N1-, N2+,N2,N2-,N3+,N3,N3-,N4+,N4,N5,No"</formula1>
    </dataValidation>
    <dataValidation type="list" allowBlank="1" showInputMessage="1" showErrorMessage="1" sqref="C10">
      <formula1>"Elementary, Intermediate, Advanced, Proficiency"</formula1>
    </dataValidation>
    <dataValidation type="list" allowBlank="1" showInputMessage="1" showErrorMessage="1" sqref="C12">
      <formula1>"&lt;1y,1~3yrs,3~5yrs,5~8yrs,8~10yrs,10~15yrs,&gt;15yrs"</formula1>
    </dataValidation>
    <dataValidation type="list" allowBlank="1" showInputMessage="1" showErrorMessage="1" sqref="C11">
      <formula1>"CĐ hoặc khác, ĐH,Master,PhD"</formula1>
    </dataValidation>
    <dataValidation type="list" allowBlank="1" showInputMessage="1" showErrorMessage="1" sqref="C13">
      <formula1>"0,&lt;1y,1~3yrs,3~5yrs,5~8yrs,8~10yrs,10~15yrs,&gt;15yrs"</formula1>
    </dataValidation>
    <dataValidation type="list" allowBlank="1" showInputMessage="1" showErrorMessage="1" sqref="B6:B9">
      <formula1>#REF!</formula1>
    </dataValidation>
  </dataValidations>
  <pageMargins left="0.7" right="0.7" top="0.75" bottom="0.75" header="0.3" footer="0.3"/>
  <pageSetup scale="60"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Reference!#REF!</xm:f>
          </x14:formula1>
          <xm:sqref>D16:D21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topLeftCell="A5" workbookViewId="0">
      <selection activeCell="A5" sqref="A5"/>
    </sheetView>
  </sheetViews>
  <sheetFormatPr defaultRowHeight="14.25"/>
  <cols>
    <col min="1" max="1" width="103" customWidth="1"/>
    <col min="2" max="2" width="9.3984375" customWidth="1"/>
  </cols>
  <sheetData>
    <row r="1" spans="1:2" ht="23.25">
      <c r="A1" s="27" t="s">
        <v>73</v>
      </c>
      <c r="B1" s="25"/>
    </row>
    <row r="2" spans="1:2">
      <c r="A2" s="28" t="s">
        <v>74</v>
      </c>
      <c r="B2" s="28" t="s">
        <v>75</v>
      </c>
    </row>
    <row r="3" spans="1:2" ht="49.5" customHeight="1">
      <c r="A3" s="29" t="s">
        <v>76</v>
      </c>
      <c r="B3" s="32"/>
    </row>
    <row r="4" spans="1:2">
      <c r="A4" s="30" t="s">
        <v>77</v>
      </c>
      <c r="B4" s="33" t="s">
        <v>78</v>
      </c>
    </row>
    <row r="5" spans="1:2" ht="210.75" customHeight="1">
      <c r="A5" s="29" t="s">
        <v>79</v>
      </c>
      <c r="B5" s="108"/>
    </row>
    <row r="6" spans="1:2">
      <c r="A6" s="28" t="s">
        <v>80</v>
      </c>
      <c r="B6" s="109"/>
    </row>
    <row r="7" spans="1:2" ht="34.5" customHeight="1">
      <c r="A7" s="31" t="s">
        <v>81</v>
      </c>
      <c r="B7" s="110"/>
    </row>
    <row r="8" spans="1:2" ht="28.5">
      <c r="A8" s="34" t="s">
        <v>82</v>
      </c>
      <c r="B8" s="33" t="s">
        <v>78</v>
      </c>
    </row>
    <row r="9" spans="1:2" ht="28.5">
      <c r="A9" s="34" t="s">
        <v>83</v>
      </c>
      <c r="B9" s="33" t="s">
        <v>78</v>
      </c>
    </row>
  </sheetData>
  <mergeCells count="1">
    <mergeCell ref="B5:B7"/>
  </mergeCells>
  <hyperlinks>
    <hyperlink ref="B4" location="InterviewCheckList!A1" display="Click"/>
    <hyperlink ref="B8" location="TechInterview!A1" display="Click here"/>
    <hyperlink ref="B9" location="'Interview Bank'!A1" display="Click here"/>
  </hyperlink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S45"/>
  <sheetViews>
    <sheetView tabSelected="1" topLeftCell="A25" zoomScale="80" zoomScaleNormal="80" workbookViewId="0">
      <selection activeCell="AI33" sqref="AI33:AO33"/>
    </sheetView>
  </sheetViews>
  <sheetFormatPr defaultColWidth="3.3984375" defaultRowHeight="13.9"/>
  <cols>
    <col min="1" max="5" width="3.3984375" style="26"/>
    <col min="6" max="6" width="1.86328125" style="26" customWidth="1"/>
    <col min="7" max="12" width="3.3984375" style="26"/>
    <col min="13" max="13" width="2.3984375" style="26" customWidth="1"/>
    <col min="14" max="14" width="2.86328125" style="26" customWidth="1"/>
    <col min="15" max="15" width="3.3984375" style="26" hidden="1" customWidth="1"/>
    <col min="16" max="16" width="1.265625" style="26" customWidth="1"/>
    <col min="17" max="24" width="3.3984375" style="26"/>
    <col min="25" max="25" width="14.265625" style="26" customWidth="1"/>
    <col min="26" max="31" width="3.3984375" style="26"/>
    <col min="32" max="32" width="3.3984375" style="26" customWidth="1"/>
    <col min="33" max="33" width="6.1328125" style="26" customWidth="1"/>
    <col min="34" max="34" width="11.86328125" style="26" customWidth="1"/>
    <col min="35" max="36" width="0" style="26" hidden="1" customWidth="1"/>
    <col min="37" max="37" width="2.73046875" style="26" hidden="1" customWidth="1"/>
    <col min="38" max="38" width="1.265625" style="26" hidden="1" customWidth="1"/>
    <col min="39" max="40" width="3.3984375" style="26"/>
    <col min="41" max="41" width="6.73046875" style="26" customWidth="1"/>
    <col min="42" max="42" width="11" style="26" hidden="1" customWidth="1"/>
    <col min="43" max="43" width="64.73046875" style="26" customWidth="1"/>
    <col min="44" max="44" width="46.73046875" style="26" customWidth="1"/>
    <col min="45" max="45" width="54.265625" style="26" customWidth="1"/>
    <col min="46" max="16384" width="3.3984375" style="26"/>
  </cols>
  <sheetData>
    <row r="1" spans="1:44">
      <c r="A1" s="206" t="s">
        <v>84</v>
      </c>
      <c r="B1" s="207"/>
      <c r="C1" s="207"/>
      <c r="D1" s="207"/>
      <c r="E1" s="207"/>
      <c r="F1" s="207"/>
      <c r="G1" s="207"/>
      <c r="H1" s="207"/>
      <c r="I1" s="207"/>
      <c r="J1" s="207"/>
      <c r="K1" s="207"/>
      <c r="L1" s="207"/>
      <c r="M1" s="207"/>
      <c r="N1" s="207"/>
      <c r="O1" s="207"/>
      <c r="P1" s="207"/>
      <c r="Q1" s="207"/>
      <c r="R1" s="207"/>
      <c r="S1" s="207"/>
      <c r="T1" s="207"/>
      <c r="U1" s="207"/>
      <c r="V1" s="207"/>
      <c r="W1" s="207"/>
      <c r="X1" s="207"/>
      <c r="Y1" s="207"/>
      <c r="Z1" s="207"/>
      <c r="AA1" s="207"/>
      <c r="AB1" s="207"/>
      <c r="AC1" s="207"/>
      <c r="AD1" s="207"/>
      <c r="AE1" s="207"/>
      <c r="AF1" s="207"/>
      <c r="AG1" s="207"/>
      <c r="AH1" s="207"/>
      <c r="AI1" s="207"/>
      <c r="AJ1" s="207"/>
      <c r="AK1" s="207"/>
      <c r="AL1" s="207"/>
      <c r="AM1" s="207"/>
      <c r="AN1" s="207"/>
      <c r="AO1" s="208"/>
      <c r="AP1" s="44"/>
    </row>
    <row r="2" spans="1:44" ht="17.25" customHeight="1">
      <c r="A2" s="209" t="s">
        <v>1</v>
      </c>
      <c r="B2" s="210"/>
      <c r="C2" s="210"/>
      <c r="D2" s="210"/>
      <c r="E2" s="210"/>
      <c r="F2" s="210"/>
      <c r="G2" s="210"/>
      <c r="H2" s="210"/>
      <c r="I2" s="210"/>
      <c r="J2" s="210"/>
      <c r="K2" s="210"/>
      <c r="L2" s="210"/>
      <c r="M2" s="210"/>
      <c r="N2" s="210"/>
      <c r="O2" s="210"/>
      <c r="P2" s="210"/>
      <c r="Q2" s="210"/>
      <c r="R2" s="210"/>
      <c r="S2" s="210"/>
      <c r="T2" s="210"/>
      <c r="U2" s="210"/>
      <c r="V2" s="210"/>
      <c r="W2" s="210"/>
      <c r="X2" s="210"/>
      <c r="Y2" s="210"/>
      <c r="Z2" s="210"/>
      <c r="AA2" s="210"/>
      <c r="AB2" s="210"/>
      <c r="AC2" s="210"/>
      <c r="AD2" s="210"/>
      <c r="AE2" s="210"/>
      <c r="AF2" s="210"/>
      <c r="AG2" s="210"/>
      <c r="AH2" s="210"/>
      <c r="AI2" s="210"/>
      <c r="AJ2" s="210"/>
      <c r="AK2" s="210"/>
      <c r="AL2" s="210"/>
      <c r="AM2" s="210"/>
      <c r="AN2" s="210"/>
      <c r="AO2" s="211"/>
      <c r="AP2" s="44"/>
    </row>
    <row r="3" spans="1:44" ht="17.25" customHeight="1">
      <c r="A3" s="222" t="s">
        <v>85</v>
      </c>
      <c r="B3" s="223"/>
      <c r="C3" s="223"/>
      <c r="D3" s="223"/>
      <c r="E3" s="223"/>
      <c r="F3" s="223"/>
      <c r="G3" s="223"/>
      <c r="H3" s="223"/>
      <c r="I3" s="223"/>
      <c r="J3" s="223"/>
      <c r="K3" s="223"/>
      <c r="L3" s="71"/>
      <c r="M3" s="71"/>
      <c r="N3" s="71"/>
      <c r="O3" s="71"/>
      <c r="P3" s="71"/>
      <c r="Q3" s="71"/>
      <c r="R3" s="71"/>
      <c r="S3" s="71"/>
      <c r="T3" s="71"/>
      <c r="U3" s="71"/>
      <c r="V3" s="71"/>
      <c r="W3" s="71"/>
      <c r="X3" s="71"/>
      <c r="Y3" s="71"/>
      <c r="Z3" s="71"/>
      <c r="AA3" s="71"/>
      <c r="AB3" s="71"/>
      <c r="AC3" s="71"/>
      <c r="AD3" s="71"/>
      <c r="AE3" s="71"/>
      <c r="AF3" s="71"/>
      <c r="AG3" s="71"/>
      <c r="AH3" s="71"/>
      <c r="AI3" s="71"/>
      <c r="AJ3" s="71"/>
      <c r="AK3" s="71"/>
      <c r="AL3" s="71"/>
      <c r="AM3" s="71"/>
      <c r="AN3" s="71"/>
      <c r="AO3" s="72"/>
      <c r="AP3" s="44"/>
    </row>
    <row r="4" spans="1:44" ht="18" customHeight="1">
      <c r="A4" s="224" t="s">
        <v>86</v>
      </c>
      <c r="B4" s="224"/>
      <c r="C4" s="224"/>
      <c r="D4" s="224"/>
      <c r="E4" s="224"/>
      <c r="F4" s="224"/>
      <c r="G4" s="224"/>
      <c r="H4" s="225" t="s">
        <v>87</v>
      </c>
      <c r="I4" s="225"/>
      <c r="J4" s="225"/>
      <c r="K4" s="225"/>
      <c r="L4" s="225"/>
      <c r="M4" s="225"/>
      <c r="N4" s="225"/>
      <c r="O4" s="225"/>
      <c r="P4" s="225"/>
      <c r="Q4" s="226" t="s">
        <v>88</v>
      </c>
      <c r="R4" s="227"/>
      <c r="S4" s="227"/>
      <c r="T4" s="227"/>
      <c r="U4" s="227"/>
      <c r="V4" s="227"/>
      <c r="W4" s="227"/>
      <c r="X4" s="227"/>
      <c r="Y4" s="227"/>
      <c r="Z4" s="228"/>
      <c r="AA4" s="234" t="s">
        <v>279</v>
      </c>
      <c r="AB4" s="234"/>
      <c r="AC4" s="234"/>
      <c r="AD4" s="234"/>
      <c r="AE4" s="234" t="s">
        <v>280</v>
      </c>
      <c r="AF4" s="234"/>
      <c r="AG4" s="234"/>
      <c r="AH4" s="234"/>
      <c r="AI4" s="234"/>
      <c r="AJ4" s="234"/>
      <c r="AK4" s="234"/>
      <c r="AL4" s="234"/>
      <c r="AM4" s="234"/>
      <c r="AN4" s="234"/>
      <c r="AO4" s="234"/>
      <c r="AP4" s="44"/>
    </row>
    <row r="5" spans="1:44" ht="18" customHeight="1">
      <c r="A5" s="224" t="s">
        <v>89</v>
      </c>
      <c r="B5" s="224"/>
      <c r="C5" s="224"/>
      <c r="D5" s="224"/>
      <c r="E5" s="224"/>
      <c r="F5" s="224"/>
      <c r="G5" s="224"/>
      <c r="H5" s="225" t="s">
        <v>281</v>
      </c>
      <c r="I5" s="225"/>
      <c r="J5" s="225"/>
      <c r="K5" s="225"/>
      <c r="L5" s="225"/>
      <c r="M5" s="225"/>
      <c r="N5" s="225"/>
      <c r="O5" s="225"/>
      <c r="P5" s="225"/>
      <c r="Q5" s="226" t="s">
        <v>90</v>
      </c>
      <c r="R5" s="227"/>
      <c r="S5" s="227"/>
      <c r="T5" s="227"/>
      <c r="U5" s="227"/>
      <c r="V5" s="227"/>
      <c r="W5" s="227"/>
      <c r="X5" s="227"/>
      <c r="Y5" s="227"/>
      <c r="Z5" s="228"/>
      <c r="AA5" s="231" t="s">
        <v>91</v>
      </c>
      <c r="AB5" s="232"/>
      <c r="AC5" s="232"/>
      <c r="AD5" s="232"/>
      <c r="AE5" s="232"/>
      <c r="AF5" s="232"/>
      <c r="AG5" s="232"/>
      <c r="AH5" s="232"/>
      <c r="AI5" s="232"/>
      <c r="AJ5" s="232"/>
      <c r="AK5" s="232"/>
      <c r="AL5" s="232"/>
      <c r="AM5" s="232"/>
      <c r="AN5" s="232"/>
      <c r="AO5" s="233"/>
      <c r="AP5" s="44"/>
    </row>
    <row r="6" spans="1:44" ht="17.25" customHeight="1">
      <c r="A6" s="224" t="s">
        <v>92</v>
      </c>
      <c r="B6" s="224"/>
      <c r="C6" s="224"/>
      <c r="D6" s="224"/>
      <c r="E6" s="224"/>
      <c r="F6" s="224"/>
      <c r="G6" s="224"/>
      <c r="H6" s="235" t="s">
        <v>91</v>
      </c>
      <c r="I6" s="235"/>
      <c r="J6" s="235"/>
      <c r="K6" s="235"/>
      <c r="L6" s="235"/>
      <c r="M6" s="235"/>
      <c r="N6" s="235"/>
      <c r="O6" s="235"/>
      <c r="P6" s="235"/>
      <c r="Q6" s="236" t="s">
        <v>93</v>
      </c>
      <c r="R6" s="237"/>
      <c r="S6" s="237"/>
      <c r="T6" s="237"/>
      <c r="U6" s="237"/>
      <c r="V6" s="237"/>
      <c r="W6" s="237"/>
      <c r="X6" s="237"/>
      <c r="Y6" s="237"/>
      <c r="Z6" s="238"/>
      <c r="AA6" s="229">
        <v>0.625</v>
      </c>
      <c r="AB6" s="229"/>
      <c r="AC6" s="229"/>
      <c r="AD6" s="229"/>
      <c r="AE6" s="229"/>
      <c r="AF6" s="229"/>
      <c r="AG6" s="229"/>
      <c r="AH6" s="229"/>
      <c r="AI6" s="229"/>
      <c r="AJ6" s="229"/>
      <c r="AK6" s="229"/>
      <c r="AL6" s="229"/>
      <c r="AM6" s="229"/>
      <c r="AN6" s="229"/>
      <c r="AO6" s="229"/>
      <c r="AP6" s="44"/>
    </row>
    <row r="7" spans="1:44" ht="18" customHeight="1">
      <c r="A7" s="224"/>
      <c r="B7" s="224"/>
      <c r="C7" s="224"/>
      <c r="D7" s="224"/>
      <c r="E7" s="224"/>
      <c r="F7" s="224"/>
      <c r="G7" s="224"/>
      <c r="H7" s="235"/>
      <c r="I7" s="235"/>
      <c r="J7" s="235"/>
      <c r="K7" s="235"/>
      <c r="L7" s="235"/>
      <c r="M7" s="235"/>
      <c r="N7" s="235"/>
      <c r="O7" s="235"/>
      <c r="P7" s="235"/>
      <c r="Q7" s="239"/>
      <c r="R7" s="240"/>
      <c r="S7" s="240"/>
      <c r="T7" s="240"/>
      <c r="U7" s="240"/>
      <c r="V7" s="240"/>
      <c r="W7" s="240"/>
      <c r="X7" s="240"/>
      <c r="Y7" s="240"/>
      <c r="Z7" s="241"/>
      <c r="AA7" s="230">
        <v>45078</v>
      </c>
      <c r="AB7" s="229"/>
      <c r="AC7" s="229"/>
      <c r="AD7" s="229"/>
      <c r="AE7" s="229"/>
      <c r="AF7" s="229"/>
      <c r="AG7" s="229"/>
      <c r="AH7" s="229"/>
      <c r="AI7" s="229"/>
      <c r="AJ7" s="229"/>
      <c r="AK7" s="229"/>
      <c r="AL7" s="229"/>
      <c r="AM7" s="229"/>
      <c r="AN7" s="229"/>
      <c r="AO7" s="229"/>
      <c r="AP7" s="44"/>
    </row>
    <row r="8" spans="1:44" s="61" customFormat="1" ht="19.5" customHeight="1">
      <c r="A8" s="242" t="s">
        <v>94</v>
      </c>
      <c r="B8" s="243"/>
      <c r="C8" s="243"/>
      <c r="D8" s="243"/>
      <c r="E8" s="243"/>
      <c r="F8" s="243"/>
      <c r="G8" s="244"/>
      <c r="H8" s="147" t="s">
        <v>91</v>
      </c>
      <c r="I8" s="147"/>
      <c r="J8" s="147"/>
      <c r="K8" s="147"/>
      <c r="L8" s="147"/>
      <c r="M8" s="147"/>
      <c r="N8" s="147"/>
      <c r="O8" s="147"/>
      <c r="P8" s="147"/>
      <c r="Q8" s="248" t="s">
        <v>95</v>
      </c>
      <c r="R8" s="248"/>
      <c r="S8" s="248"/>
      <c r="T8" s="248"/>
      <c r="U8" s="248"/>
      <c r="V8" s="248"/>
      <c r="W8" s="248"/>
      <c r="X8" s="248"/>
      <c r="Y8" s="248"/>
      <c r="Z8" s="248"/>
      <c r="AA8" s="249" t="s">
        <v>96</v>
      </c>
      <c r="AB8" s="249"/>
      <c r="AC8" s="249"/>
      <c r="AD8" s="249"/>
      <c r="AE8" s="249"/>
      <c r="AF8" s="249"/>
      <c r="AG8" s="251" t="s">
        <v>97</v>
      </c>
      <c r="AH8" s="251"/>
      <c r="AI8" s="251"/>
      <c r="AJ8" s="251"/>
      <c r="AK8" s="251"/>
      <c r="AL8" s="251"/>
      <c r="AM8" s="251"/>
      <c r="AN8" s="251"/>
      <c r="AO8" s="252"/>
    </row>
    <row r="9" spans="1:44" s="61" customFormat="1" ht="19.5" customHeight="1">
      <c r="A9" s="245"/>
      <c r="B9" s="246"/>
      <c r="C9" s="246"/>
      <c r="D9" s="246"/>
      <c r="E9" s="246"/>
      <c r="F9" s="246"/>
      <c r="G9" s="247"/>
      <c r="H9" s="147" t="s">
        <v>91</v>
      </c>
      <c r="I9" s="147"/>
      <c r="J9" s="147"/>
      <c r="K9" s="147"/>
      <c r="L9" s="147"/>
      <c r="M9" s="147"/>
      <c r="N9" s="147"/>
      <c r="O9" s="147"/>
      <c r="P9" s="147"/>
      <c r="Q9" s="248" t="s">
        <v>95</v>
      </c>
      <c r="R9" s="248"/>
      <c r="S9" s="248"/>
      <c r="T9" s="248"/>
      <c r="U9" s="248"/>
      <c r="V9" s="248"/>
      <c r="W9" s="248"/>
      <c r="X9" s="248"/>
      <c r="Y9" s="248"/>
      <c r="Z9" s="248"/>
      <c r="AA9" s="250" t="s">
        <v>96</v>
      </c>
      <c r="AB9" s="251"/>
      <c r="AC9" s="251"/>
      <c r="AD9" s="251"/>
      <c r="AE9" s="251"/>
      <c r="AF9" s="251"/>
      <c r="AG9" s="147" t="s">
        <v>91</v>
      </c>
      <c r="AH9" s="147"/>
      <c r="AI9" s="147"/>
      <c r="AJ9" s="147"/>
      <c r="AK9" s="147"/>
      <c r="AL9" s="147"/>
      <c r="AM9" s="147"/>
      <c r="AN9" s="147"/>
      <c r="AO9" s="147"/>
    </row>
    <row r="10" spans="1:44" ht="18" customHeight="1">
      <c r="A10" s="219" t="s">
        <v>98</v>
      </c>
      <c r="B10" s="220"/>
      <c r="C10" s="220"/>
      <c r="D10" s="220"/>
      <c r="E10" s="220"/>
      <c r="F10" s="220"/>
      <c r="G10" s="220"/>
      <c r="H10" s="220"/>
      <c r="I10" s="220"/>
      <c r="J10" s="220"/>
      <c r="K10" s="220"/>
      <c r="L10" s="220"/>
      <c r="M10" s="220"/>
      <c r="N10" s="220"/>
      <c r="O10" s="220"/>
      <c r="P10" s="220"/>
      <c r="Q10" s="220"/>
      <c r="R10" s="220"/>
      <c r="S10" s="220"/>
      <c r="T10" s="220"/>
      <c r="U10" s="220"/>
      <c r="V10" s="220"/>
      <c r="W10" s="220"/>
      <c r="X10" s="220"/>
      <c r="Y10" s="220"/>
      <c r="Z10" s="220"/>
      <c r="AA10" s="220"/>
      <c r="AB10" s="220"/>
      <c r="AC10" s="220"/>
      <c r="AD10" s="220"/>
      <c r="AE10" s="220"/>
      <c r="AF10" s="220"/>
      <c r="AG10" s="220"/>
      <c r="AH10" s="220"/>
      <c r="AI10" s="220"/>
      <c r="AJ10" s="220"/>
      <c r="AK10" s="220"/>
      <c r="AL10" s="220"/>
      <c r="AM10" s="220"/>
      <c r="AN10" s="220"/>
      <c r="AO10" s="221"/>
      <c r="AP10" s="44"/>
    </row>
    <row r="11" spans="1:44">
      <c r="A11" s="73" t="s">
        <v>99</v>
      </c>
      <c r="B11" s="218" t="s">
        <v>100</v>
      </c>
      <c r="C11" s="218"/>
      <c r="D11" s="218"/>
      <c r="E11" s="218"/>
      <c r="F11" s="218"/>
      <c r="G11" s="218"/>
      <c r="H11" s="218" t="s">
        <v>101</v>
      </c>
      <c r="I11" s="218"/>
      <c r="J11" s="218"/>
      <c r="K11" s="218"/>
      <c r="L11" s="218"/>
      <c r="M11" s="218"/>
      <c r="N11" s="218"/>
      <c r="O11" s="218"/>
      <c r="P11" s="218"/>
      <c r="Q11" s="218" t="s">
        <v>102</v>
      </c>
      <c r="R11" s="218"/>
      <c r="S11" s="218"/>
      <c r="T11" s="218"/>
      <c r="U11" s="218"/>
      <c r="V11" s="218"/>
      <c r="W11" s="218"/>
      <c r="X11" s="218"/>
      <c r="Y11" s="218"/>
      <c r="Z11" s="218"/>
      <c r="AA11" s="218"/>
      <c r="AB11" s="218"/>
      <c r="AC11" s="218"/>
      <c r="AD11" s="218"/>
      <c r="AE11" s="218"/>
      <c r="AF11" s="218"/>
      <c r="AG11" s="218"/>
      <c r="AH11" s="218"/>
      <c r="AI11" s="218" t="s">
        <v>103</v>
      </c>
      <c r="AJ11" s="218"/>
      <c r="AK11" s="218"/>
      <c r="AL11" s="218"/>
      <c r="AM11" s="218" t="s">
        <v>104</v>
      </c>
      <c r="AN11" s="218"/>
      <c r="AO11" s="218"/>
      <c r="AP11" s="44"/>
    </row>
    <row r="12" spans="1:44" ht="22.5" customHeight="1">
      <c r="A12" s="148">
        <v>1</v>
      </c>
      <c r="B12" s="212" t="s">
        <v>105</v>
      </c>
      <c r="C12" s="213"/>
      <c r="D12" s="213"/>
      <c r="E12" s="213"/>
      <c r="F12" s="213"/>
      <c r="G12" s="214"/>
      <c r="H12" s="166" t="s">
        <v>91</v>
      </c>
      <c r="I12" s="166"/>
      <c r="J12" s="166"/>
      <c r="K12" s="166"/>
      <c r="L12" s="166"/>
      <c r="M12" s="166"/>
      <c r="N12" s="166"/>
      <c r="O12" s="166"/>
      <c r="P12" s="166"/>
      <c r="Q12" s="256" t="s">
        <v>91</v>
      </c>
      <c r="R12" s="256"/>
      <c r="S12" s="256"/>
      <c r="T12" s="256"/>
      <c r="U12" s="256"/>
      <c r="V12" s="256"/>
      <c r="W12" s="256"/>
      <c r="X12" s="256"/>
      <c r="Y12" s="256"/>
      <c r="Z12" s="256"/>
      <c r="AA12" s="256"/>
      <c r="AB12" s="256"/>
      <c r="AC12" s="256"/>
      <c r="AD12" s="256"/>
      <c r="AE12" s="256"/>
      <c r="AF12" s="256"/>
      <c r="AG12" s="256"/>
      <c r="AH12" s="256"/>
      <c r="AI12" s="256"/>
      <c r="AJ12" s="256"/>
      <c r="AK12" s="256"/>
      <c r="AL12" s="256"/>
      <c r="AM12" s="256"/>
      <c r="AN12" s="256"/>
      <c r="AO12" s="256"/>
      <c r="AP12" s="45"/>
    </row>
    <row r="13" spans="1:44" ht="22.5" customHeight="1">
      <c r="A13" s="149"/>
      <c r="B13" s="215"/>
      <c r="C13" s="216"/>
      <c r="D13" s="216"/>
      <c r="E13" s="216"/>
      <c r="F13" s="216"/>
      <c r="G13" s="217"/>
      <c r="H13" s="166" t="s">
        <v>91</v>
      </c>
      <c r="I13" s="166"/>
      <c r="J13" s="166"/>
      <c r="K13" s="166"/>
      <c r="L13" s="166"/>
      <c r="M13" s="166"/>
      <c r="N13" s="166"/>
      <c r="O13" s="166"/>
      <c r="P13" s="166"/>
      <c r="Q13" s="256" t="s">
        <v>91</v>
      </c>
      <c r="R13" s="257"/>
      <c r="S13" s="257"/>
      <c r="T13" s="257"/>
      <c r="U13" s="257"/>
      <c r="V13" s="257"/>
      <c r="W13" s="257"/>
      <c r="X13" s="257"/>
      <c r="Y13" s="257"/>
      <c r="Z13" s="257"/>
      <c r="AA13" s="257"/>
      <c r="AB13" s="257"/>
      <c r="AC13" s="257"/>
      <c r="AD13" s="257"/>
      <c r="AE13" s="257"/>
      <c r="AF13" s="257"/>
      <c r="AG13" s="257"/>
      <c r="AH13" s="257"/>
      <c r="AI13" s="257"/>
      <c r="AJ13" s="257"/>
      <c r="AK13" s="257"/>
      <c r="AL13" s="257"/>
      <c r="AM13" s="257"/>
      <c r="AN13" s="257"/>
      <c r="AO13" s="257"/>
      <c r="AP13" s="46"/>
      <c r="AQ13" s="26" t="s">
        <v>270</v>
      </c>
    </row>
    <row r="14" spans="1:44" ht="48.75" customHeight="1" collapsed="1">
      <c r="A14" s="66">
        <v>2</v>
      </c>
      <c r="B14" s="161" t="s">
        <v>106</v>
      </c>
      <c r="C14" s="161"/>
      <c r="D14" s="161"/>
      <c r="E14" s="161"/>
      <c r="F14" s="161"/>
      <c r="G14" s="161"/>
      <c r="H14" s="160" t="s">
        <v>107</v>
      </c>
      <c r="I14" s="160"/>
      <c r="J14" s="160"/>
      <c r="K14" s="160"/>
      <c r="L14" s="160"/>
      <c r="M14" s="160"/>
      <c r="N14" s="160"/>
      <c r="O14" s="160"/>
      <c r="P14" s="160"/>
      <c r="Q14" s="168" t="s">
        <v>108</v>
      </c>
      <c r="R14" s="168"/>
      <c r="S14" s="168"/>
      <c r="T14" s="168"/>
      <c r="U14" s="168"/>
      <c r="V14" s="168"/>
      <c r="W14" s="168"/>
      <c r="X14" s="168"/>
      <c r="Y14" s="168"/>
      <c r="Z14" s="164" t="s">
        <v>269</v>
      </c>
      <c r="AA14" s="164"/>
      <c r="AB14" s="164"/>
      <c r="AC14" s="164"/>
      <c r="AD14" s="164"/>
      <c r="AE14" s="164"/>
      <c r="AF14" s="164"/>
      <c r="AG14" s="164"/>
      <c r="AH14" s="164"/>
      <c r="AI14" s="137">
        <v>0.02</v>
      </c>
      <c r="AJ14" s="138"/>
      <c r="AK14" s="138"/>
      <c r="AL14" s="139"/>
      <c r="AM14" s="143" t="s">
        <v>110</v>
      </c>
      <c r="AN14" s="144"/>
      <c r="AO14" s="145"/>
      <c r="AP14" s="47">
        <f>AI14*VLOOKUP(InterviewCheckList!AM14,Reference!$B$2:$C$7,2,0)</f>
        <v>0.08</v>
      </c>
      <c r="AQ14" s="75" t="s">
        <v>258</v>
      </c>
      <c r="AR14" s="74"/>
    </row>
    <row r="15" spans="1:44" ht="104.1" customHeight="1">
      <c r="A15" s="148">
        <v>3</v>
      </c>
      <c r="B15" s="185" t="s">
        <v>111</v>
      </c>
      <c r="C15" s="186"/>
      <c r="D15" s="186"/>
      <c r="E15" s="186"/>
      <c r="F15" s="186"/>
      <c r="G15" s="187"/>
      <c r="H15" s="253" t="s">
        <v>112</v>
      </c>
      <c r="I15" s="254"/>
      <c r="J15" s="254"/>
      <c r="K15" s="254"/>
      <c r="L15" s="254"/>
      <c r="M15" s="254"/>
      <c r="N15" s="254"/>
      <c r="O15" s="254"/>
      <c r="P15" s="255"/>
      <c r="Q15" s="168" t="s">
        <v>113</v>
      </c>
      <c r="R15" s="168"/>
      <c r="S15" s="168"/>
      <c r="T15" s="168"/>
      <c r="U15" s="168"/>
      <c r="V15" s="168"/>
      <c r="W15" s="168"/>
      <c r="X15" s="168"/>
      <c r="Y15" s="168"/>
      <c r="Z15" s="164" t="s">
        <v>271</v>
      </c>
      <c r="AA15" s="164"/>
      <c r="AB15" s="164"/>
      <c r="AC15" s="164"/>
      <c r="AD15" s="164"/>
      <c r="AE15" s="164"/>
      <c r="AF15" s="164"/>
      <c r="AG15" s="164"/>
      <c r="AH15" s="164"/>
      <c r="AI15" s="137">
        <v>0.08</v>
      </c>
      <c r="AJ15" s="138"/>
      <c r="AK15" s="138"/>
      <c r="AL15" s="139"/>
      <c r="AM15" s="143" t="s">
        <v>110</v>
      </c>
      <c r="AN15" s="144"/>
      <c r="AO15" s="145"/>
      <c r="AP15" s="47">
        <f>AI15*VLOOKUP(InterviewCheckList!AM15,Reference!$B$2:$C$7,2,0)</f>
        <v>0.32</v>
      </c>
      <c r="AQ15" s="75" t="s">
        <v>261</v>
      </c>
      <c r="AR15" s="74"/>
    </row>
    <row r="16" spans="1:44" ht="205.5" customHeight="1">
      <c r="A16" s="149"/>
      <c r="B16" s="188"/>
      <c r="C16" s="189"/>
      <c r="D16" s="189"/>
      <c r="E16" s="189"/>
      <c r="F16" s="189"/>
      <c r="G16" s="190"/>
      <c r="H16" s="172" t="s">
        <v>115</v>
      </c>
      <c r="I16" s="173"/>
      <c r="J16" s="173"/>
      <c r="K16" s="173"/>
      <c r="L16" s="173"/>
      <c r="M16" s="173"/>
      <c r="N16" s="173"/>
      <c r="O16" s="173"/>
      <c r="P16" s="174"/>
      <c r="Q16" s="165" t="s">
        <v>116</v>
      </c>
      <c r="R16" s="165"/>
      <c r="S16" s="165"/>
      <c r="T16" s="165"/>
      <c r="U16" s="165"/>
      <c r="V16" s="165"/>
      <c r="W16" s="165"/>
      <c r="X16" s="165"/>
      <c r="Y16" s="165"/>
      <c r="Z16" s="164" t="s">
        <v>273</v>
      </c>
      <c r="AA16" s="164"/>
      <c r="AB16" s="164"/>
      <c r="AC16" s="164"/>
      <c r="AD16" s="164"/>
      <c r="AE16" s="164"/>
      <c r="AF16" s="164"/>
      <c r="AG16" s="164"/>
      <c r="AH16" s="164"/>
      <c r="AI16" s="137">
        <v>0.1</v>
      </c>
      <c r="AJ16" s="138"/>
      <c r="AK16" s="138"/>
      <c r="AL16" s="139"/>
      <c r="AM16" s="143" t="s">
        <v>110</v>
      </c>
      <c r="AN16" s="144"/>
      <c r="AO16" s="145"/>
      <c r="AP16" s="47">
        <f>AI16*VLOOKUP(InterviewCheckList!AM16,Reference!$B$2:$C$7,2,0)</f>
        <v>0.4</v>
      </c>
      <c r="AQ16" s="75" t="s">
        <v>272</v>
      </c>
      <c r="AR16" s="74"/>
    </row>
    <row r="17" spans="1:45" ht="123" customHeight="1">
      <c r="A17" s="149"/>
      <c r="B17" s="188"/>
      <c r="C17" s="189"/>
      <c r="D17" s="189"/>
      <c r="E17" s="189"/>
      <c r="F17" s="189"/>
      <c r="G17" s="190"/>
      <c r="H17" s="172" t="s">
        <v>117</v>
      </c>
      <c r="I17" s="173"/>
      <c r="J17" s="173"/>
      <c r="K17" s="173"/>
      <c r="L17" s="173"/>
      <c r="M17" s="173"/>
      <c r="N17" s="173"/>
      <c r="O17" s="173"/>
      <c r="P17" s="174"/>
      <c r="Q17" s="165" t="s">
        <v>263</v>
      </c>
      <c r="R17" s="165"/>
      <c r="S17" s="165"/>
      <c r="T17" s="165"/>
      <c r="U17" s="165"/>
      <c r="V17" s="165"/>
      <c r="W17" s="165"/>
      <c r="X17" s="165"/>
      <c r="Y17" s="165"/>
      <c r="Z17" s="164" t="s">
        <v>274</v>
      </c>
      <c r="AA17" s="164"/>
      <c r="AB17" s="164"/>
      <c r="AC17" s="164"/>
      <c r="AD17" s="164"/>
      <c r="AE17" s="164"/>
      <c r="AF17" s="164"/>
      <c r="AG17" s="164"/>
      <c r="AH17" s="164"/>
      <c r="AI17" s="137">
        <v>0.1</v>
      </c>
      <c r="AJ17" s="138"/>
      <c r="AK17" s="138"/>
      <c r="AL17" s="139"/>
      <c r="AM17" s="143" t="s">
        <v>110</v>
      </c>
      <c r="AN17" s="144"/>
      <c r="AO17" s="145"/>
      <c r="AP17" s="47">
        <f>AI17*VLOOKUP(InterviewCheckList!AM17,Reference!$B$2:$C$7,2,0)</f>
        <v>0.4</v>
      </c>
      <c r="AQ17" s="75" t="s">
        <v>262</v>
      </c>
      <c r="AR17" s="74" t="s">
        <v>268</v>
      </c>
    </row>
    <row r="18" spans="1:45" ht="86.45" customHeight="1">
      <c r="A18" s="149"/>
      <c r="B18" s="188"/>
      <c r="C18" s="189"/>
      <c r="D18" s="189"/>
      <c r="E18" s="189"/>
      <c r="F18" s="189"/>
      <c r="G18" s="190"/>
      <c r="H18" s="172" t="s">
        <v>118</v>
      </c>
      <c r="I18" s="173"/>
      <c r="J18" s="173"/>
      <c r="K18" s="173"/>
      <c r="L18" s="173"/>
      <c r="M18" s="173"/>
      <c r="N18" s="173"/>
      <c r="O18" s="173"/>
      <c r="P18" s="174"/>
      <c r="Q18" s="165" t="s">
        <v>119</v>
      </c>
      <c r="R18" s="165"/>
      <c r="S18" s="165"/>
      <c r="T18" s="165"/>
      <c r="U18" s="165"/>
      <c r="V18" s="165"/>
      <c r="W18" s="165"/>
      <c r="X18" s="165"/>
      <c r="Y18" s="165"/>
      <c r="Z18" s="166" t="s">
        <v>109</v>
      </c>
      <c r="AA18" s="166"/>
      <c r="AB18" s="166"/>
      <c r="AC18" s="166"/>
      <c r="AD18" s="166"/>
      <c r="AE18" s="166"/>
      <c r="AF18" s="166"/>
      <c r="AG18" s="166"/>
      <c r="AH18" s="166"/>
      <c r="AI18" s="137">
        <v>0.1</v>
      </c>
      <c r="AJ18" s="138"/>
      <c r="AK18" s="138"/>
      <c r="AL18" s="139"/>
      <c r="AM18" s="143" t="s">
        <v>17</v>
      </c>
      <c r="AN18" s="144"/>
      <c r="AO18" s="145"/>
      <c r="AP18" s="47">
        <f>AI18*VLOOKUP(InterviewCheckList!AM18,Reference!$B$2:$C$7,2,0)</f>
        <v>0.30000000000000004</v>
      </c>
      <c r="AQ18" s="75"/>
    </row>
    <row r="19" spans="1:45" ht="85.5" customHeight="1">
      <c r="A19" s="149"/>
      <c r="B19" s="188"/>
      <c r="C19" s="189"/>
      <c r="D19" s="189"/>
      <c r="E19" s="189"/>
      <c r="F19" s="189"/>
      <c r="G19" s="190"/>
      <c r="H19" s="175" t="s">
        <v>121</v>
      </c>
      <c r="I19" s="176"/>
      <c r="J19" s="176"/>
      <c r="K19" s="176"/>
      <c r="L19" s="176"/>
      <c r="M19" s="176"/>
      <c r="N19" s="176"/>
      <c r="O19" s="176"/>
      <c r="P19" s="177"/>
      <c r="Q19" s="165" t="s">
        <v>122</v>
      </c>
      <c r="R19" s="165"/>
      <c r="S19" s="165"/>
      <c r="T19" s="165"/>
      <c r="U19" s="165"/>
      <c r="V19" s="165"/>
      <c r="W19" s="165"/>
      <c r="X19" s="165"/>
      <c r="Y19" s="165"/>
      <c r="Z19" s="166" t="s">
        <v>109</v>
      </c>
      <c r="AA19" s="166"/>
      <c r="AB19" s="166"/>
      <c r="AC19" s="166"/>
      <c r="AD19" s="166"/>
      <c r="AE19" s="166"/>
      <c r="AF19" s="166"/>
      <c r="AG19" s="166"/>
      <c r="AH19" s="166"/>
      <c r="AI19" s="137">
        <v>0.08</v>
      </c>
      <c r="AJ19" s="138"/>
      <c r="AK19" s="138"/>
      <c r="AL19" s="139"/>
      <c r="AM19" s="143" t="s">
        <v>110</v>
      </c>
      <c r="AN19" s="144"/>
      <c r="AO19" s="145"/>
      <c r="AP19" s="47">
        <f>AI19*VLOOKUP(InterviewCheckList!AM19,Reference!$B$2:$C$7,2,0)</f>
        <v>0.32</v>
      </c>
      <c r="AQ19" s="76"/>
    </row>
    <row r="20" spans="1:45" ht="63.75" customHeight="1">
      <c r="A20" s="149"/>
      <c r="B20" s="188"/>
      <c r="C20" s="189"/>
      <c r="D20" s="189"/>
      <c r="E20" s="189"/>
      <c r="F20" s="189"/>
      <c r="G20" s="190"/>
      <c r="H20" s="253" t="s">
        <v>123</v>
      </c>
      <c r="I20" s="254"/>
      <c r="J20" s="254"/>
      <c r="K20" s="254"/>
      <c r="L20" s="254"/>
      <c r="M20" s="254"/>
      <c r="N20" s="254"/>
      <c r="O20" s="254"/>
      <c r="P20" s="255"/>
      <c r="Q20" s="167" t="s">
        <v>124</v>
      </c>
      <c r="R20" s="167"/>
      <c r="S20" s="167"/>
      <c r="T20" s="167"/>
      <c r="U20" s="167"/>
      <c r="V20" s="167"/>
      <c r="W20" s="167"/>
      <c r="X20" s="167"/>
      <c r="Y20" s="167"/>
      <c r="Z20" s="166" t="s">
        <v>109</v>
      </c>
      <c r="AA20" s="166"/>
      <c r="AB20" s="166"/>
      <c r="AC20" s="166"/>
      <c r="AD20" s="166"/>
      <c r="AE20" s="166"/>
      <c r="AF20" s="166"/>
      <c r="AG20" s="166"/>
      <c r="AH20" s="166"/>
      <c r="AI20" s="137">
        <v>0.08</v>
      </c>
      <c r="AJ20" s="138"/>
      <c r="AK20" s="138"/>
      <c r="AL20" s="139"/>
      <c r="AM20" s="143" t="s">
        <v>17</v>
      </c>
      <c r="AN20" s="144"/>
      <c r="AO20" s="145"/>
      <c r="AP20" s="47">
        <f>AI20*VLOOKUP(InterviewCheckList!AM20,Reference!$B$2:$C$7,2,0)</f>
        <v>0.24</v>
      </c>
      <c r="AQ20" s="76"/>
    </row>
    <row r="21" spans="1:45" ht="126.95" customHeight="1">
      <c r="A21" s="68">
        <v>4</v>
      </c>
      <c r="B21" s="178" t="s">
        <v>125</v>
      </c>
      <c r="C21" s="178"/>
      <c r="D21" s="178"/>
      <c r="E21" s="178"/>
      <c r="F21" s="178"/>
      <c r="G21" s="178"/>
      <c r="H21" s="162" t="s">
        <v>126</v>
      </c>
      <c r="I21" s="163"/>
      <c r="J21" s="163"/>
      <c r="K21" s="163"/>
      <c r="L21" s="163"/>
      <c r="M21" s="163"/>
      <c r="N21" s="163"/>
      <c r="O21" s="48"/>
      <c r="P21" s="49"/>
      <c r="Q21" s="168" t="s">
        <v>127</v>
      </c>
      <c r="R21" s="168"/>
      <c r="S21" s="168"/>
      <c r="T21" s="168"/>
      <c r="U21" s="168"/>
      <c r="V21" s="168"/>
      <c r="W21" s="168"/>
      <c r="X21" s="168"/>
      <c r="Y21" s="168"/>
      <c r="Z21" s="164" t="s">
        <v>275</v>
      </c>
      <c r="AA21" s="164"/>
      <c r="AB21" s="164"/>
      <c r="AC21" s="164"/>
      <c r="AD21" s="164"/>
      <c r="AE21" s="164"/>
      <c r="AF21" s="164"/>
      <c r="AG21" s="164"/>
      <c r="AH21" s="164"/>
      <c r="AI21" s="137">
        <v>0.1</v>
      </c>
      <c r="AJ21" s="138"/>
      <c r="AK21" s="138"/>
      <c r="AL21" s="139"/>
      <c r="AM21" s="143" t="s">
        <v>110</v>
      </c>
      <c r="AN21" s="144"/>
      <c r="AO21" s="145"/>
      <c r="AP21" s="47">
        <f>AI21*VLOOKUP(InterviewCheckList!AM21,Reference!$B$2:$C$7,2,0)</f>
        <v>0.4</v>
      </c>
      <c r="AQ21" s="26" t="s">
        <v>267</v>
      </c>
      <c r="AR21" s="74"/>
      <c r="AS21" s="74"/>
    </row>
    <row r="22" spans="1:45" ht="146.65" customHeight="1">
      <c r="A22" s="148">
        <v>5</v>
      </c>
      <c r="B22" s="179" t="s">
        <v>128</v>
      </c>
      <c r="C22" s="180"/>
      <c r="D22" s="180"/>
      <c r="E22" s="180"/>
      <c r="F22" s="180"/>
      <c r="G22" s="181"/>
      <c r="H22" s="175" t="s">
        <v>129</v>
      </c>
      <c r="I22" s="176"/>
      <c r="J22" s="176"/>
      <c r="K22" s="176"/>
      <c r="L22" s="176"/>
      <c r="M22" s="176"/>
      <c r="N22" s="176"/>
      <c r="O22" s="176"/>
      <c r="P22" s="177"/>
      <c r="Q22" s="193" t="s">
        <v>130</v>
      </c>
      <c r="R22" s="193"/>
      <c r="S22" s="193"/>
      <c r="T22" s="193"/>
      <c r="U22" s="193"/>
      <c r="V22" s="193"/>
      <c r="W22" s="193"/>
      <c r="X22" s="193"/>
      <c r="Y22" s="193"/>
      <c r="Z22" s="164" t="s">
        <v>276</v>
      </c>
      <c r="AA22" s="166"/>
      <c r="AB22" s="166"/>
      <c r="AC22" s="166"/>
      <c r="AD22" s="166"/>
      <c r="AE22" s="166"/>
      <c r="AF22" s="166"/>
      <c r="AG22" s="166"/>
      <c r="AH22" s="166"/>
      <c r="AI22" s="137">
        <v>0.03</v>
      </c>
      <c r="AJ22" s="138"/>
      <c r="AK22" s="138"/>
      <c r="AL22" s="139"/>
      <c r="AM22" s="143" t="s">
        <v>110</v>
      </c>
      <c r="AN22" s="144"/>
      <c r="AO22" s="145"/>
      <c r="AP22" s="47">
        <f>AI22*VLOOKUP(InterviewCheckList!AM22,Reference!$B$2:$C$7,2,0)</f>
        <v>0.12</v>
      </c>
      <c r="AQ22" s="74" t="s">
        <v>266</v>
      </c>
      <c r="AR22" s="75" t="s">
        <v>265</v>
      </c>
      <c r="AS22" s="74" t="s">
        <v>264</v>
      </c>
    </row>
    <row r="23" spans="1:45" ht="61.5" customHeight="1">
      <c r="A23" s="149"/>
      <c r="B23" s="182"/>
      <c r="C23" s="183"/>
      <c r="D23" s="183"/>
      <c r="E23" s="183"/>
      <c r="F23" s="183"/>
      <c r="G23" s="184"/>
      <c r="H23" s="191" t="s">
        <v>131</v>
      </c>
      <c r="I23" s="192"/>
      <c r="J23" s="192"/>
      <c r="K23" s="192"/>
      <c r="L23" s="192"/>
      <c r="M23" s="192"/>
      <c r="N23" s="192"/>
      <c r="O23" s="69"/>
      <c r="P23" s="70"/>
      <c r="Q23" s="167" t="s">
        <v>132</v>
      </c>
      <c r="R23" s="167"/>
      <c r="S23" s="167"/>
      <c r="T23" s="167"/>
      <c r="U23" s="167"/>
      <c r="V23" s="167"/>
      <c r="W23" s="167"/>
      <c r="X23" s="167"/>
      <c r="Y23" s="167"/>
      <c r="Z23" s="164" t="s">
        <v>277</v>
      </c>
      <c r="AA23" s="166"/>
      <c r="AB23" s="166"/>
      <c r="AC23" s="166"/>
      <c r="AD23" s="166"/>
      <c r="AE23" s="166"/>
      <c r="AF23" s="166"/>
      <c r="AG23" s="166"/>
      <c r="AH23" s="166"/>
      <c r="AI23" s="137">
        <v>0.03</v>
      </c>
      <c r="AJ23" s="138"/>
      <c r="AK23" s="138"/>
      <c r="AL23" s="139"/>
      <c r="AM23" s="143" t="s">
        <v>110</v>
      </c>
      <c r="AN23" s="144"/>
      <c r="AO23" s="145"/>
      <c r="AP23" s="47">
        <f>AI23*VLOOKUP(InterviewCheckList!AM23,Reference!$B$2:$C$7,2,0)</f>
        <v>0.12</v>
      </c>
      <c r="AQ23" s="76"/>
      <c r="AS23" s="74"/>
    </row>
    <row r="24" spans="1:45" ht="39.950000000000003" customHeight="1">
      <c r="A24" s="67">
        <v>6</v>
      </c>
      <c r="B24" s="161" t="s">
        <v>133</v>
      </c>
      <c r="C24" s="161"/>
      <c r="D24" s="161"/>
      <c r="E24" s="161"/>
      <c r="F24" s="161"/>
      <c r="G24" s="161"/>
      <c r="H24" s="162" t="s">
        <v>134</v>
      </c>
      <c r="I24" s="163"/>
      <c r="J24" s="163"/>
      <c r="K24" s="163"/>
      <c r="L24" s="163"/>
      <c r="M24" s="163"/>
      <c r="N24" s="163"/>
      <c r="O24" s="48"/>
      <c r="P24" s="49"/>
      <c r="Q24" s="258" t="s">
        <v>135</v>
      </c>
      <c r="R24" s="258"/>
      <c r="S24" s="258"/>
      <c r="T24" s="258"/>
      <c r="U24" s="258"/>
      <c r="V24" s="258"/>
      <c r="W24" s="258"/>
      <c r="X24" s="258"/>
      <c r="Y24" s="258"/>
      <c r="Z24" s="166" t="s">
        <v>109</v>
      </c>
      <c r="AA24" s="166"/>
      <c r="AB24" s="166"/>
      <c r="AC24" s="166"/>
      <c r="AD24" s="166"/>
      <c r="AE24" s="166"/>
      <c r="AF24" s="166"/>
      <c r="AG24" s="166"/>
      <c r="AH24" s="166"/>
      <c r="AI24" s="137">
        <v>0.08</v>
      </c>
      <c r="AJ24" s="138"/>
      <c r="AK24" s="138"/>
      <c r="AL24" s="139"/>
      <c r="AM24" s="143" t="s">
        <v>114</v>
      </c>
      <c r="AN24" s="144"/>
      <c r="AO24" s="145"/>
      <c r="AP24" s="47">
        <f>AI24*VLOOKUP(InterviewCheckList!AM24,Reference!$B$2:$C$7,2,0)</f>
        <v>0.08</v>
      </c>
      <c r="AQ24" s="75" t="s">
        <v>259</v>
      </c>
      <c r="AS24" s="74"/>
    </row>
    <row r="25" spans="1:45" ht="147" customHeight="1">
      <c r="A25" s="148">
        <v>7</v>
      </c>
      <c r="B25" s="151" t="s">
        <v>136</v>
      </c>
      <c r="C25" s="152"/>
      <c r="D25" s="152"/>
      <c r="E25" s="152"/>
      <c r="F25" s="152"/>
      <c r="G25" s="153"/>
      <c r="H25" s="160" t="s">
        <v>137</v>
      </c>
      <c r="I25" s="160"/>
      <c r="J25" s="160"/>
      <c r="K25" s="160"/>
      <c r="L25" s="160"/>
      <c r="M25" s="160"/>
      <c r="N25" s="160"/>
      <c r="O25" s="160"/>
      <c r="P25" s="160"/>
      <c r="Q25" s="258" t="s">
        <v>138</v>
      </c>
      <c r="R25" s="258"/>
      <c r="S25" s="258"/>
      <c r="T25" s="258"/>
      <c r="U25" s="258"/>
      <c r="V25" s="258"/>
      <c r="W25" s="258"/>
      <c r="X25" s="258"/>
      <c r="Y25" s="258"/>
      <c r="Z25" s="164" t="s">
        <v>282</v>
      </c>
      <c r="AA25" s="164"/>
      <c r="AB25" s="164"/>
      <c r="AC25" s="164"/>
      <c r="AD25" s="164"/>
      <c r="AE25" s="164"/>
      <c r="AF25" s="164"/>
      <c r="AG25" s="164"/>
      <c r="AH25" s="164"/>
      <c r="AI25" s="137">
        <v>0.04</v>
      </c>
      <c r="AJ25" s="138"/>
      <c r="AK25" s="138"/>
      <c r="AL25" s="139"/>
      <c r="AM25" s="169">
        <v>3</v>
      </c>
      <c r="AN25" s="170"/>
      <c r="AO25" s="171"/>
      <c r="AP25" s="47">
        <f>AM25*AI25</f>
        <v>0.12</v>
      </c>
      <c r="AQ25" s="75"/>
      <c r="AS25" s="74"/>
    </row>
    <row r="26" spans="1:45" ht="27.6" customHeight="1">
      <c r="A26" s="149"/>
      <c r="B26" s="154"/>
      <c r="C26" s="155"/>
      <c r="D26" s="155"/>
      <c r="E26" s="155"/>
      <c r="F26" s="155"/>
      <c r="G26" s="156"/>
      <c r="H26" s="197" t="s">
        <v>139</v>
      </c>
      <c r="I26" s="160"/>
      <c r="J26" s="160"/>
      <c r="K26" s="160"/>
      <c r="L26" s="160"/>
      <c r="M26" s="160"/>
      <c r="N26" s="160"/>
      <c r="O26" s="160"/>
      <c r="P26" s="160"/>
      <c r="Q26" s="258" t="s">
        <v>140</v>
      </c>
      <c r="R26" s="258"/>
      <c r="S26" s="258"/>
      <c r="T26" s="258"/>
      <c r="U26" s="258"/>
      <c r="V26" s="258"/>
      <c r="W26" s="258"/>
      <c r="X26" s="258"/>
      <c r="Y26" s="258"/>
      <c r="Z26" s="166" t="s">
        <v>109</v>
      </c>
      <c r="AA26" s="166"/>
      <c r="AB26" s="166"/>
      <c r="AC26" s="166"/>
      <c r="AD26" s="166"/>
      <c r="AE26" s="166"/>
      <c r="AF26" s="166"/>
      <c r="AG26" s="166"/>
      <c r="AH26" s="166"/>
      <c r="AI26" s="137">
        <v>0.04</v>
      </c>
      <c r="AJ26" s="138"/>
      <c r="AK26" s="138"/>
      <c r="AL26" s="139"/>
      <c r="AM26" s="169">
        <v>3</v>
      </c>
      <c r="AN26" s="170"/>
      <c r="AO26" s="171"/>
      <c r="AP26" s="47">
        <f t="shared" ref="AP26:AP27" si="0">AM26*AI26</f>
        <v>0.12</v>
      </c>
      <c r="AQ26" s="77" t="s">
        <v>260</v>
      </c>
    </row>
    <row r="27" spans="1:45" ht="58.5" customHeight="1">
      <c r="A27" s="150"/>
      <c r="B27" s="157"/>
      <c r="C27" s="158"/>
      <c r="D27" s="158"/>
      <c r="E27" s="158"/>
      <c r="F27" s="158"/>
      <c r="G27" s="159"/>
      <c r="H27" s="197" t="s">
        <v>141</v>
      </c>
      <c r="I27" s="160"/>
      <c r="J27" s="160"/>
      <c r="K27" s="160"/>
      <c r="L27" s="160"/>
      <c r="M27" s="160"/>
      <c r="N27" s="160"/>
      <c r="O27" s="160"/>
      <c r="P27" s="160"/>
      <c r="Q27" s="258" t="s">
        <v>142</v>
      </c>
      <c r="R27" s="258"/>
      <c r="S27" s="258"/>
      <c r="T27" s="258"/>
      <c r="U27" s="258"/>
      <c r="V27" s="258"/>
      <c r="W27" s="258"/>
      <c r="X27" s="258"/>
      <c r="Y27" s="258"/>
      <c r="Z27" s="166" t="s">
        <v>109</v>
      </c>
      <c r="AA27" s="166"/>
      <c r="AB27" s="166"/>
      <c r="AC27" s="166"/>
      <c r="AD27" s="166"/>
      <c r="AE27" s="166"/>
      <c r="AF27" s="166"/>
      <c r="AG27" s="166"/>
      <c r="AH27" s="166"/>
      <c r="AI27" s="137">
        <v>0.03</v>
      </c>
      <c r="AJ27" s="138"/>
      <c r="AK27" s="138"/>
      <c r="AL27" s="139"/>
      <c r="AM27" s="169">
        <v>4</v>
      </c>
      <c r="AN27" s="170"/>
      <c r="AO27" s="171"/>
      <c r="AP27" s="47">
        <f t="shared" si="0"/>
        <v>0.12</v>
      </c>
      <c r="AQ27" s="75"/>
    </row>
    <row r="28" spans="1:45" s="61" customFormat="1" ht="15" customHeight="1">
      <c r="A28" s="115">
        <v>8</v>
      </c>
      <c r="B28" s="117" t="s">
        <v>143</v>
      </c>
      <c r="C28" s="118"/>
      <c r="D28" s="118"/>
      <c r="E28" s="118"/>
      <c r="F28" s="118"/>
      <c r="G28" s="119"/>
      <c r="H28" s="123" t="s">
        <v>144</v>
      </c>
      <c r="I28" s="124"/>
      <c r="J28" s="124"/>
      <c r="K28" s="124"/>
      <c r="L28" s="124"/>
      <c r="M28" s="124"/>
      <c r="N28" s="124"/>
      <c r="O28" s="124"/>
      <c r="P28" s="125"/>
      <c r="Q28" s="146" t="s">
        <v>11</v>
      </c>
      <c r="R28" s="146"/>
      <c r="S28" s="146"/>
      <c r="T28" s="146"/>
      <c r="U28" s="146"/>
      <c r="V28" s="146"/>
      <c r="W28" s="146"/>
      <c r="X28" s="146"/>
      <c r="Y28" s="146"/>
      <c r="Z28" s="147" t="s">
        <v>109</v>
      </c>
      <c r="AA28" s="147"/>
      <c r="AB28" s="147"/>
      <c r="AC28" s="147"/>
      <c r="AD28" s="147"/>
      <c r="AE28" s="147"/>
      <c r="AF28" s="147"/>
      <c r="AG28" s="147"/>
      <c r="AH28" s="147"/>
      <c r="AI28" s="130">
        <v>0.02</v>
      </c>
      <c r="AJ28" s="131"/>
      <c r="AK28" s="131"/>
      <c r="AL28" s="132"/>
      <c r="AM28" s="133" t="s">
        <v>255</v>
      </c>
      <c r="AN28" s="134"/>
      <c r="AO28" s="135"/>
      <c r="AP28" s="60">
        <f>AI28*VLOOKUP(InterviewCheckList!AM28,Reference!$D$2:$E$7,2,0)</f>
        <v>0.06</v>
      </c>
      <c r="AQ28" s="76"/>
    </row>
    <row r="29" spans="1:45" s="61" customFormat="1" ht="15" customHeight="1">
      <c r="A29" s="116"/>
      <c r="B29" s="120"/>
      <c r="C29" s="121"/>
      <c r="D29" s="121"/>
      <c r="E29" s="121"/>
      <c r="F29" s="121"/>
      <c r="G29" s="122"/>
      <c r="H29" s="126"/>
      <c r="I29" s="127"/>
      <c r="J29" s="127"/>
      <c r="K29" s="127"/>
      <c r="L29" s="127"/>
      <c r="M29" s="127"/>
      <c r="N29" s="127"/>
      <c r="O29" s="127"/>
      <c r="P29" s="128"/>
      <c r="Q29" s="146" t="s">
        <v>146</v>
      </c>
      <c r="R29" s="146"/>
      <c r="S29" s="146"/>
      <c r="T29" s="146"/>
      <c r="U29" s="146"/>
      <c r="V29" s="146"/>
      <c r="W29" s="146"/>
      <c r="X29" s="146"/>
      <c r="Y29" s="146"/>
      <c r="Z29" s="147" t="s">
        <v>109</v>
      </c>
      <c r="AA29" s="147"/>
      <c r="AB29" s="147"/>
      <c r="AC29" s="147"/>
      <c r="AD29" s="147"/>
      <c r="AE29" s="147"/>
      <c r="AF29" s="147"/>
      <c r="AG29" s="147"/>
      <c r="AH29" s="147"/>
      <c r="AI29" s="130">
        <v>0.02</v>
      </c>
      <c r="AJ29" s="131"/>
      <c r="AK29" s="131"/>
      <c r="AL29" s="132"/>
      <c r="AM29" s="133" t="s">
        <v>255</v>
      </c>
      <c r="AN29" s="134"/>
      <c r="AO29" s="135"/>
      <c r="AP29" s="60">
        <f>AI29*VLOOKUP(InterviewCheckList!AM29,Reference!$D$2:$E$7,2,0)</f>
        <v>0.06</v>
      </c>
      <c r="AQ29" s="76"/>
    </row>
    <row r="30" spans="1:45" s="61" customFormat="1" ht="15" customHeight="1">
      <c r="A30" s="116"/>
      <c r="B30" s="120"/>
      <c r="C30" s="121"/>
      <c r="D30" s="121"/>
      <c r="E30" s="121"/>
      <c r="F30" s="121"/>
      <c r="G30" s="122"/>
      <c r="H30" s="126"/>
      <c r="I30" s="127"/>
      <c r="J30" s="127"/>
      <c r="K30" s="127"/>
      <c r="L30" s="127"/>
      <c r="M30" s="127"/>
      <c r="N30" s="127"/>
      <c r="O30" s="127"/>
      <c r="P30" s="128"/>
      <c r="Q30" s="146" t="s">
        <v>147</v>
      </c>
      <c r="R30" s="146"/>
      <c r="S30" s="146"/>
      <c r="T30" s="146"/>
      <c r="U30" s="146"/>
      <c r="V30" s="146"/>
      <c r="W30" s="146"/>
      <c r="X30" s="146"/>
      <c r="Y30" s="146"/>
      <c r="Z30" s="147" t="s">
        <v>109</v>
      </c>
      <c r="AA30" s="147"/>
      <c r="AB30" s="147"/>
      <c r="AC30" s="147"/>
      <c r="AD30" s="147"/>
      <c r="AE30" s="147"/>
      <c r="AF30" s="147"/>
      <c r="AG30" s="147"/>
      <c r="AH30" s="147"/>
      <c r="AI30" s="130">
        <v>0.02</v>
      </c>
      <c r="AJ30" s="131"/>
      <c r="AK30" s="131"/>
      <c r="AL30" s="132"/>
      <c r="AM30" s="133" t="s">
        <v>255</v>
      </c>
      <c r="AN30" s="134"/>
      <c r="AO30" s="135"/>
      <c r="AP30" s="60">
        <f>AI30*VLOOKUP(InterviewCheckList!AM30,Reference!$D$2:$E$7,2,0)</f>
        <v>0.06</v>
      </c>
      <c r="AQ30" s="76"/>
    </row>
    <row r="31" spans="1:45" s="61" customFormat="1" ht="15" customHeight="1">
      <c r="A31" s="116"/>
      <c r="B31" s="120"/>
      <c r="C31" s="121"/>
      <c r="D31" s="121"/>
      <c r="E31" s="121"/>
      <c r="F31" s="121"/>
      <c r="G31" s="122"/>
      <c r="H31" s="129"/>
      <c r="I31" s="127"/>
      <c r="J31" s="127"/>
      <c r="K31" s="127"/>
      <c r="L31" s="127"/>
      <c r="M31" s="127"/>
      <c r="N31" s="127"/>
      <c r="O31" s="127"/>
      <c r="P31" s="128"/>
      <c r="Q31" s="146" t="s">
        <v>13</v>
      </c>
      <c r="R31" s="146"/>
      <c r="S31" s="146"/>
      <c r="T31" s="146"/>
      <c r="U31" s="146"/>
      <c r="V31" s="146"/>
      <c r="W31" s="146"/>
      <c r="X31" s="146"/>
      <c r="Y31" s="146"/>
      <c r="Z31" s="147" t="s">
        <v>109</v>
      </c>
      <c r="AA31" s="147"/>
      <c r="AB31" s="147"/>
      <c r="AC31" s="147"/>
      <c r="AD31" s="147"/>
      <c r="AE31" s="147"/>
      <c r="AF31" s="147"/>
      <c r="AG31" s="147"/>
      <c r="AH31" s="147"/>
      <c r="AI31" s="130">
        <v>0.02</v>
      </c>
      <c r="AJ31" s="131"/>
      <c r="AK31" s="131"/>
      <c r="AL31" s="132"/>
      <c r="AM31" s="133" t="s">
        <v>255</v>
      </c>
      <c r="AN31" s="134"/>
      <c r="AO31" s="135"/>
      <c r="AP31" s="60">
        <f>AI31*VLOOKUP(InterviewCheckList!AM31,Reference!$D$2:$E$7,2,0)</f>
        <v>0.06</v>
      </c>
      <c r="AQ31" s="76"/>
    </row>
    <row r="32" spans="1:45" ht="14.45" customHeight="1">
      <c r="A32" s="66">
        <v>9</v>
      </c>
      <c r="B32" s="212" t="s">
        <v>148</v>
      </c>
      <c r="C32" s="213"/>
      <c r="D32" s="213"/>
      <c r="E32" s="213"/>
      <c r="F32" s="213"/>
      <c r="G32" s="214"/>
      <c r="H32" s="160" t="s">
        <v>149</v>
      </c>
      <c r="I32" s="160"/>
      <c r="J32" s="160"/>
      <c r="K32" s="160"/>
      <c r="L32" s="160"/>
      <c r="M32" s="160"/>
      <c r="N32" s="160"/>
      <c r="O32" s="160"/>
      <c r="P32" s="160"/>
      <c r="Q32" s="259" t="s">
        <v>150</v>
      </c>
      <c r="R32" s="259"/>
      <c r="S32" s="259"/>
      <c r="T32" s="259"/>
      <c r="U32" s="259"/>
      <c r="V32" s="259"/>
      <c r="W32" s="259"/>
      <c r="X32" s="259"/>
      <c r="Y32" s="259"/>
      <c r="Z32" s="166" t="s">
        <v>278</v>
      </c>
      <c r="AA32" s="166"/>
      <c r="AB32" s="166"/>
      <c r="AC32" s="166"/>
      <c r="AD32" s="166"/>
      <c r="AE32" s="166"/>
      <c r="AF32" s="166"/>
      <c r="AG32" s="166"/>
      <c r="AH32" s="166"/>
      <c r="AI32" s="137">
        <v>0.01</v>
      </c>
      <c r="AJ32" s="138"/>
      <c r="AK32" s="138"/>
      <c r="AL32" s="139"/>
      <c r="AM32" s="143" t="s">
        <v>151</v>
      </c>
      <c r="AN32" s="144"/>
      <c r="AO32" s="145"/>
      <c r="AP32" s="47">
        <f>IF( AM32="Yes",1,0)*AI32</f>
        <v>0.01</v>
      </c>
      <c r="AQ32" s="78"/>
    </row>
    <row r="33" spans="1:44">
      <c r="A33" s="202" t="s">
        <v>152</v>
      </c>
      <c r="B33" s="203"/>
      <c r="C33" s="203"/>
      <c r="D33" s="203"/>
      <c r="E33" s="203"/>
      <c r="F33" s="203"/>
      <c r="G33" s="203"/>
      <c r="H33" s="203"/>
      <c r="I33" s="203"/>
      <c r="J33" s="203"/>
      <c r="K33" s="203"/>
      <c r="L33" s="203"/>
      <c r="M33" s="203"/>
      <c r="N33" s="203"/>
      <c r="O33" s="203"/>
      <c r="P33" s="203"/>
      <c r="Q33" s="203"/>
      <c r="R33" s="203"/>
      <c r="S33" s="203"/>
      <c r="T33" s="203"/>
      <c r="U33" s="203"/>
      <c r="V33" s="203"/>
      <c r="W33" s="203"/>
      <c r="X33" s="203"/>
      <c r="Y33" s="203"/>
      <c r="Z33" s="203"/>
      <c r="AA33" s="203"/>
      <c r="AB33" s="203"/>
      <c r="AC33" s="203"/>
      <c r="AD33" s="203"/>
      <c r="AE33" s="203"/>
      <c r="AF33" s="203"/>
      <c r="AG33" s="203"/>
      <c r="AH33" s="204"/>
      <c r="AI33" s="140">
        <f>SUM(AP15:AP32)</f>
        <v>3.3100000000000009</v>
      </c>
      <c r="AJ33" s="141"/>
      <c r="AK33" s="141"/>
      <c r="AL33" s="141"/>
      <c r="AM33" s="141"/>
      <c r="AN33" s="141"/>
      <c r="AO33" s="142"/>
      <c r="AP33" s="47"/>
    </row>
    <row r="34" spans="1:44">
      <c r="A34" s="202" t="s">
        <v>153</v>
      </c>
      <c r="B34" s="203"/>
      <c r="C34" s="203"/>
      <c r="D34" s="203"/>
      <c r="E34" s="203"/>
      <c r="F34" s="203"/>
      <c r="G34" s="203"/>
      <c r="H34" s="203"/>
      <c r="I34" s="203"/>
      <c r="J34" s="203"/>
      <c r="K34" s="203"/>
      <c r="L34" s="203"/>
      <c r="M34" s="203"/>
      <c r="N34" s="203"/>
      <c r="O34" s="203"/>
      <c r="P34" s="203"/>
      <c r="Q34" s="203"/>
      <c r="R34" s="203"/>
      <c r="S34" s="203"/>
      <c r="T34" s="203"/>
      <c r="U34" s="203"/>
      <c r="V34" s="203"/>
      <c r="W34" s="203"/>
      <c r="X34" s="203"/>
      <c r="Y34" s="203"/>
      <c r="Z34" s="203"/>
      <c r="AA34" s="203"/>
      <c r="AB34" s="203"/>
      <c r="AC34" s="203"/>
      <c r="AD34" s="203"/>
      <c r="AE34" s="203"/>
      <c r="AF34" s="203"/>
      <c r="AG34" s="203"/>
      <c r="AH34" s="204"/>
      <c r="AI34" s="205" t="str">
        <f>IF(AI33&gt;4.4,"BA06",IF(AI33&gt;4,"BA05",IF(AI33&gt;3.4,"BA04",IF(AI33&gt;2.5,"BA03",IF(AI33&gt;1.6,"BA02","BA01")))))</f>
        <v>BA03</v>
      </c>
      <c r="AJ34" s="205" t="str">
        <f t="shared" ref="AJ34:AO34" si="1">IF(AJ33&gt;5.4,"DEV06",IF(AJ33&gt;5.1,"DEV05",IF(AJ33&gt;4,"DEV04",IF(AJ33&gt;3,"DEV03",IF(AJ33&gt;2.5,"DEV02","F")))))</f>
        <v>F</v>
      </c>
      <c r="AK34" s="205" t="str">
        <f t="shared" si="1"/>
        <v>F</v>
      </c>
      <c r="AL34" s="205" t="str">
        <f t="shared" si="1"/>
        <v>F</v>
      </c>
      <c r="AM34" s="205" t="str">
        <f t="shared" si="1"/>
        <v>F</v>
      </c>
      <c r="AN34" s="205" t="str">
        <f t="shared" si="1"/>
        <v>F</v>
      </c>
      <c r="AO34" s="205" t="str">
        <f t="shared" si="1"/>
        <v>F</v>
      </c>
      <c r="AP34" s="50"/>
    </row>
    <row r="35" spans="1:44">
      <c r="A35" s="199" t="s">
        <v>80</v>
      </c>
      <c r="B35" s="200"/>
      <c r="C35" s="200"/>
      <c r="D35" s="200"/>
      <c r="E35" s="200"/>
      <c r="F35" s="200"/>
      <c r="G35" s="200"/>
      <c r="H35" s="200"/>
      <c r="I35" s="200"/>
      <c r="J35" s="200"/>
      <c r="K35" s="200"/>
      <c r="L35" s="200"/>
      <c r="M35" s="200"/>
      <c r="N35" s="200"/>
      <c r="O35" s="200"/>
      <c r="P35" s="200"/>
      <c r="Q35" s="200"/>
      <c r="R35" s="200"/>
      <c r="S35" s="200"/>
      <c r="T35" s="200"/>
      <c r="U35" s="200"/>
      <c r="V35" s="200"/>
      <c r="W35" s="200"/>
      <c r="X35" s="200"/>
      <c r="Y35" s="200"/>
      <c r="Z35" s="200"/>
      <c r="AA35" s="200"/>
      <c r="AB35" s="200"/>
      <c r="AC35" s="200"/>
      <c r="AD35" s="200"/>
      <c r="AE35" s="200"/>
      <c r="AF35" s="200"/>
      <c r="AG35" s="200"/>
      <c r="AH35" s="200"/>
      <c r="AI35" s="200"/>
      <c r="AJ35" s="200"/>
      <c r="AK35" s="200"/>
      <c r="AL35" s="200"/>
      <c r="AM35" s="200"/>
      <c r="AN35" s="200"/>
      <c r="AO35" s="201"/>
      <c r="AP35" s="44"/>
    </row>
    <row r="36" spans="1:44">
      <c r="A36" s="51">
        <v>10</v>
      </c>
      <c r="B36" s="136" t="s">
        <v>154</v>
      </c>
      <c r="C36" s="136"/>
      <c r="D36" s="136"/>
      <c r="E36" s="136"/>
      <c r="F36" s="136"/>
      <c r="G36" s="136"/>
      <c r="H36" s="112" t="s">
        <v>155</v>
      </c>
      <c r="I36" s="113"/>
      <c r="J36" s="113"/>
      <c r="K36" s="113"/>
      <c r="L36" s="113"/>
      <c r="M36" s="113"/>
      <c r="N36" s="113"/>
      <c r="O36" s="113"/>
      <c r="P36" s="113"/>
      <c r="Q36" s="113"/>
      <c r="R36" s="113"/>
      <c r="S36" s="113"/>
      <c r="T36" s="113"/>
      <c r="U36" s="113"/>
      <c r="V36" s="113"/>
      <c r="W36" s="113"/>
      <c r="X36" s="113"/>
      <c r="Y36" s="113"/>
      <c r="Z36" s="113"/>
      <c r="AA36" s="113"/>
      <c r="AB36" s="113"/>
      <c r="AC36" s="113"/>
      <c r="AD36" s="113"/>
      <c r="AE36" s="113"/>
      <c r="AF36" s="113"/>
      <c r="AG36" s="113"/>
      <c r="AH36" s="113"/>
      <c r="AI36" s="113"/>
      <c r="AJ36" s="113"/>
      <c r="AK36" s="113"/>
      <c r="AL36" s="113"/>
      <c r="AM36" s="113"/>
      <c r="AN36" s="113"/>
      <c r="AO36" s="114"/>
      <c r="AP36" s="44"/>
    </row>
    <row r="37" spans="1:44">
      <c r="A37" s="51">
        <v>11</v>
      </c>
      <c r="B37" s="136" t="s">
        <v>156</v>
      </c>
      <c r="C37" s="136"/>
      <c r="D37" s="136"/>
      <c r="E37" s="136"/>
      <c r="F37" s="136"/>
      <c r="G37" s="136"/>
      <c r="H37" s="112" t="s">
        <v>157</v>
      </c>
      <c r="I37" s="113"/>
      <c r="J37" s="113"/>
      <c r="K37" s="113"/>
      <c r="L37" s="113"/>
      <c r="M37" s="113"/>
      <c r="N37" s="113"/>
      <c r="O37" s="113"/>
      <c r="P37" s="113"/>
      <c r="Q37" s="113"/>
      <c r="R37" s="113"/>
      <c r="S37" s="113"/>
      <c r="T37" s="113"/>
      <c r="U37" s="113"/>
      <c r="V37" s="113"/>
      <c r="W37" s="113"/>
      <c r="X37" s="113"/>
      <c r="Y37" s="113"/>
      <c r="Z37" s="113"/>
      <c r="AA37" s="113"/>
      <c r="AB37" s="113"/>
      <c r="AC37" s="113"/>
      <c r="AD37" s="113"/>
      <c r="AE37" s="113"/>
      <c r="AF37" s="113"/>
      <c r="AG37" s="113"/>
      <c r="AH37" s="113"/>
      <c r="AI37" s="113"/>
      <c r="AJ37" s="113"/>
      <c r="AK37" s="113"/>
      <c r="AL37" s="113"/>
      <c r="AM37" s="113"/>
      <c r="AN37" s="113"/>
      <c r="AO37" s="114"/>
      <c r="AP37" s="44"/>
    </row>
    <row r="38" spans="1:44">
      <c r="A38" s="51">
        <v>12</v>
      </c>
      <c r="B38" s="136" t="s">
        <v>158</v>
      </c>
      <c r="C38" s="136"/>
      <c r="D38" s="136"/>
      <c r="E38" s="136"/>
      <c r="F38" s="136"/>
      <c r="G38" s="136"/>
      <c r="H38" s="112" t="s">
        <v>155</v>
      </c>
      <c r="I38" s="113"/>
      <c r="J38" s="113"/>
      <c r="K38" s="113"/>
      <c r="L38" s="113"/>
      <c r="M38" s="113"/>
      <c r="N38" s="113"/>
      <c r="O38" s="113"/>
      <c r="P38" s="113"/>
      <c r="Q38" s="113"/>
      <c r="R38" s="113"/>
      <c r="S38" s="113"/>
      <c r="T38" s="113"/>
      <c r="U38" s="113"/>
      <c r="V38" s="113"/>
      <c r="W38" s="113"/>
      <c r="X38" s="113"/>
      <c r="Y38" s="113"/>
      <c r="Z38" s="113"/>
      <c r="AA38" s="113"/>
      <c r="AB38" s="113"/>
      <c r="AC38" s="113"/>
      <c r="AD38" s="113"/>
      <c r="AE38" s="113"/>
      <c r="AF38" s="113"/>
      <c r="AG38" s="113"/>
      <c r="AH38" s="113"/>
      <c r="AI38" s="113"/>
      <c r="AJ38" s="113"/>
      <c r="AK38" s="113"/>
      <c r="AL38" s="113"/>
      <c r="AM38" s="113"/>
      <c r="AN38" s="113"/>
      <c r="AO38" s="114"/>
      <c r="AP38" s="44"/>
    </row>
    <row r="39" spans="1:44">
      <c r="A39" s="51">
        <v>13</v>
      </c>
      <c r="B39" s="136" t="s">
        <v>159</v>
      </c>
      <c r="C39" s="136"/>
      <c r="D39" s="136"/>
      <c r="E39" s="136"/>
      <c r="F39" s="136"/>
      <c r="G39" s="136"/>
      <c r="H39" s="112" t="s">
        <v>157</v>
      </c>
      <c r="I39" s="113"/>
      <c r="J39" s="113"/>
      <c r="K39" s="113"/>
      <c r="L39" s="113"/>
      <c r="M39" s="113"/>
      <c r="N39" s="113"/>
      <c r="O39" s="113"/>
      <c r="P39" s="113"/>
      <c r="Q39" s="113"/>
      <c r="R39" s="113"/>
      <c r="S39" s="113"/>
      <c r="T39" s="113"/>
      <c r="U39" s="113"/>
      <c r="V39" s="113"/>
      <c r="W39" s="113"/>
      <c r="X39" s="113"/>
      <c r="Y39" s="113"/>
      <c r="Z39" s="113"/>
      <c r="AA39" s="113"/>
      <c r="AB39" s="113"/>
      <c r="AC39" s="113"/>
      <c r="AD39" s="113"/>
      <c r="AE39" s="113"/>
      <c r="AF39" s="113"/>
      <c r="AG39" s="113"/>
      <c r="AH39" s="113"/>
      <c r="AI39" s="113"/>
      <c r="AJ39" s="113"/>
      <c r="AK39" s="113"/>
      <c r="AL39" s="113"/>
      <c r="AM39" s="113"/>
      <c r="AN39" s="113"/>
      <c r="AO39" s="114"/>
      <c r="AP39" s="44"/>
    </row>
    <row r="40" spans="1:44">
      <c r="A40" s="51">
        <v>14</v>
      </c>
      <c r="B40" s="136" t="s">
        <v>160</v>
      </c>
      <c r="C40" s="136"/>
      <c r="D40" s="136"/>
      <c r="E40" s="136"/>
      <c r="F40" s="136"/>
      <c r="G40" s="136"/>
      <c r="H40" s="112" t="s">
        <v>157</v>
      </c>
      <c r="I40" s="113"/>
      <c r="J40" s="113"/>
      <c r="K40" s="113"/>
      <c r="L40" s="113"/>
      <c r="M40" s="113"/>
      <c r="N40" s="113"/>
      <c r="O40" s="113"/>
      <c r="P40" s="113"/>
      <c r="Q40" s="113"/>
      <c r="R40" s="113"/>
      <c r="S40" s="113"/>
      <c r="T40" s="113"/>
      <c r="U40" s="113"/>
      <c r="V40" s="113"/>
      <c r="W40" s="113"/>
      <c r="X40" s="113"/>
      <c r="Y40" s="113"/>
      <c r="Z40" s="113"/>
      <c r="AA40" s="113"/>
      <c r="AB40" s="113"/>
      <c r="AC40" s="113"/>
      <c r="AD40" s="113"/>
      <c r="AE40" s="113"/>
      <c r="AF40" s="113"/>
      <c r="AG40" s="113"/>
      <c r="AH40" s="113"/>
      <c r="AI40" s="113"/>
      <c r="AJ40" s="113"/>
      <c r="AK40" s="113"/>
      <c r="AL40" s="113"/>
      <c r="AM40" s="113"/>
      <c r="AN40" s="113"/>
      <c r="AO40" s="114"/>
      <c r="AP40" s="44"/>
    </row>
    <row r="41" spans="1:44">
      <c r="A41" s="51">
        <v>15</v>
      </c>
      <c r="B41" s="136" t="s">
        <v>161</v>
      </c>
      <c r="C41" s="136"/>
      <c r="D41" s="136"/>
      <c r="E41" s="136"/>
      <c r="F41" s="136"/>
      <c r="G41" s="136"/>
      <c r="H41" s="112" t="s">
        <v>155</v>
      </c>
      <c r="I41" s="113"/>
      <c r="J41" s="113"/>
      <c r="K41" s="113"/>
      <c r="L41" s="113"/>
      <c r="M41" s="113"/>
      <c r="N41" s="113"/>
      <c r="O41" s="113"/>
      <c r="P41" s="113"/>
      <c r="Q41" s="113"/>
      <c r="R41" s="113"/>
      <c r="S41" s="113"/>
      <c r="T41" s="113"/>
      <c r="U41" s="113"/>
      <c r="V41" s="113"/>
      <c r="W41" s="113"/>
      <c r="X41" s="113"/>
      <c r="Y41" s="113"/>
      <c r="Z41" s="113"/>
      <c r="AA41" s="113"/>
      <c r="AB41" s="113"/>
      <c r="AC41" s="113"/>
      <c r="AD41" s="113"/>
      <c r="AE41" s="113"/>
      <c r="AF41" s="113"/>
      <c r="AG41" s="113"/>
      <c r="AH41" s="113"/>
      <c r="AI41" s="113"/>
      <c r="AJ41" s="113"/>
      <c r="AK41" s="113"/>
      <c r="AL41" s="113"/>
      <c r="AM41" s="113"/>
      <c r="AN41" s="113"/>
      <c r="AO41" s="114"/>
      <c r="AP41" s="44"/>
    </row>
    <row r="42" spans="1:44">
      <c r="A42" s="51">
        <v>16</v>
      </c>
      <c r="B42" s="198" t="s">
        <v>162</v>
      </c>
      <c r="C42" s="198"/>
      <c r="D42" s="198"/>
      <c r="E42" s="198"/>
      <c r="F42" s="198"/>
      <c r="G42" s="198"/>
      <c r="H42" s="112" t="s">
        <v>155</v>
      </c>
      <c r="I42" s="113"/>
      <c r="J42" s="113"/>
      <c r="K42" s="113"/>
      <c r="L42" s="113"/>
      <c r="M42" s="113"/>
      <c r="N42" s="113"/>
      <c r="O42" s="113"/>
      <c r="P42" s="113"/>
      <c r="Q42" s="113"/>
      <c r="R42" s="113"/>
      <c r="S42" s="113"/>
      <c r="T42" s="113"/>
      <c r="U42" s="113"/>
      <c r="V42" s="113"/>
      <c r="W42" s="113"/>
      <c r="X42" s="113"/>
      <c r="Y42" s="113"/>
      <c r="Z42" s="113"/>
      <c r="AA42" s="113"/>
      <c r="AB42" s="113"/>
      <c r="AC42" s="113"/>
      <c r="AD42" s="113"/>
      <c r="AE42" s="113"/>
      <c r="AF42" s="113"/>
      <c r="AG42" s="113"/>
      <c r="AH42" s="113"/>
      <c r="AI42" s="113"/>
      <c r="AJ42" s="113"/>
      <c r="AK42" s="113"/>
      <c r="AL42" s="113"/>
      <c r="AM42" s="113"/>
      <c r="AN42" s="113"/>
      <c r="AO42" s="114"/>
      <c r="AP42" s="44"/>
    </row>
    <row r="43" spans="1:44" s="38" customFormat="1">
      <c r="A43" s="51">
        <v>17</v>
      </c>
      <c r="B43" s="111" t="s">
        <v>163</v>
      </c>
      <c r="C43" s="111"/>
      <c r="D43" s="111"/>
      <c r="E43" s="111"/>
      <c r="F43" s="111"/>
      <c r="G43" s="111"/>
      <c r="H43" s="112" t="s">
        <v>155</v>
      </c>
      <c r="I43" s="113"/>
      <c r="J43" s="113"/>
      <c r="K43" s="113"/>
      <c r="L43" s="113"/>
      <c r="M43" s="113"/>
      <c r="N43" s="113"/>
      <c r="O43" s="113"/>
      <c r="P43" s="113"/>
      <c r="Q43" s="113"/>
      <c r="R43" s="113"/>
      <c r="S43" s="113"/>
      <c r="T43" s="113"/>
      <c r="U43" s="113"/>
      <c r="V43" s="113"/>
      <c r="W43" s="113"/>
      <c r="X43" s="113"/>
      <c r="Y43" s="113"/>
      <c r="Z43" s="113"/>
      <c r="AA43" s="113"/>
      <c r="AB43" s="113"/>
      <c r="AC43" s="113"/>
      <c r="AD43" s="113"/>
      <c r="AE43" s="113"/>
      <c r="AF43" s="113"/>
      <c r="AG43" s="113"/>
      <c r="AH43" s="113"/>
      <c r="AI43" s="113"/>
      <c r="AJ43" s="113"/>
      <c r="AK43" s="113"/>
      <c r="AL43" s="113"/>
      <c r="AM43" s="113"/>
      <c r="AN43" s="113"/>
      <c r="AO43" s="114"/>
      <c r="AP43" s="52"/>
    </row>
    <row r="44" spans="1:44" s="38" customFormat="1">
      <c r="A44" s="51">
        <v>18</v>
      </c>
      <c r="B44" s="111" t="s">
        <v>164</v>
      </c>
      <c r="C44" s="111"/>
      <c r="D44" s="111"/>
      <c r="E44" s="111"/>
      <c r="F44" s="111"/>
      <c r="G44" s="111"/>
      <c r="H44" s="112" t="s">
        <v>155</v>
      </c>
      <c r="I44" s="113"/>
      <c r="J44" s="113"/>
      <c r="K44" s="113"/>
      <c r="L44" s="113"/>
      <c r="M44" s="113"/>
      <c r="N44" s="113"/>
      <c r="O44" s="113"/>
      <c r="P44" s="113"/>
      <c r="Q44" s="113"/>
      <c r="R44" s="113"/>
      <c r="S44" s="113"/>
      <c r="T44" s="113"/>
      <c r="U44" s="113"/>
      <c r="V44" s="113"/>
      <c r="W44" s="113"/>
      <c r="X44" s="113"/>
      <c r="Y44" s="113"/>
      <c r="Z44" s="113"/>
      <c r="AA44" s="113"/>
      <c r="AB44" s="113"/>
      <c r="AC44" s="113"/>
      <c r="AD44" s="113"/>
      <c r="AE44" s="113"/>
      <c r="AF44" s="113"/>
      <c r="AG44" s="113"/>
      <c r="AH44" s="113"/>
      <c r="AI44" s="113"/>
      <c r="AJ44" s="113"/>
      <c r="AK44" s="113"/>
      <c r="AL44" s="113"/>
      <c r="AM44" s="113"/>
      <c r="AN44" s="113"/>
      <c r="AO44" s="114"/>
      <c r="AP44" s="52"/>
      <c r="AQ44" s="26"/>
      <c r="AR44" s="26"/>
    </row>
    <row r="45" spans="1:44" ht="78" customHeight="1">
      <c r="A45" s="51">
        <v>19</v>
      </c>
      <c r="B45" s="194" t="s">
        <v>165</v>
      </c>
      <c r="C45" s="195"/>
      <c r="D45" s="195"/>
      <c r="E45" s="195"/>
      <c r="F45" s="195"/>
      <c r="G45" s="196"/>
      <c r="H45" s="260" t="s">
        <v>283</v>
      </c>
      <c r="I45" s="113"/>
      <c r="J45" s="113"/>
      <c r="K45" s="113"/>
      <c r="L45" s="113"/>
      <c r="M45" s="113"/>
      <c r="N45" s="113"/>
      <c r="O45" s="113"/>
      <c r="P45" s="113"/>
      <c r="Q45" s="113"/>
      <c r="R45" s="113"/>
      <c r="S45" s="113"/>
      <c r="T45" s="113"/>
      <c r="U45" s="113"/>
      <c r="V45" s="113"/>
      <c r="W45" s="113"/>
      <c r="X45" s="113"/>
      <c r="Y45" s="113"/>
      <c r="Z45" s="113"/>
      <c r="AA45" s="113"/>
      <c r="AB45" s="113"/>
      <c r="AC45" s="113"/>
      <c r="AD45" s="113"/>
      <c r="AE45" s="113"/>
      <c r="AF45" s="113"/>
      <c r="AG45" s="113"/>
      <c r="AH45" s="113"/>
      <c r="AI45" s="113"/>
      <c r="AJ45" s="113"/>
      <c r="AK45" s="113"/>
      <c r="AL45" s="113"/>
      <c r="AM45" s="113"/>
      <c r="AN45" s="113"/>
      <c r="AO45" s="114"/>
      <c r="AP45" s="44"/>
    </row>
  </sheetData>
  <mergeCells count="167">
    <mergeCell ref="Z23:AH23"/>
    <mergeCell ref="Q24:Y24"/>
    <mergeCell ref="Z24:AH24"/>
    <mergeCell ref="Q25:Y25"/>
    <mergeCell ref="Q26:Y26"/>
    <mergeCell ref="Q27:Y27"/>
    <mergeCell ref="Q32:Y32"/>
    <mergeCell ref="Z32:AH32"/>
    <mergeCell ref="Q28:Y28"/>
    <mergeCell ref="Z25:AH25"/>
    <mergeCell ref="Z26:AH26"/>
    <mergeCell ref="Z27:AH27"/>
    <mergeCell ref="Z28:AH28"/>
    <mergeCell ref="Z31:AH31"/>
    <mergeCell ref="Q31:Y31"/>
    <mergeCell ref="AA8:AF8"/>
    <mergeCell ref="AA9:AF9"/>
    <mergeCell ref="AG8:AO8"/>
    <mergeCell ref="AI19:AL19"/>
    <mergeCell ref="AM19:AO19"/>
    <mergeCell ref="H12:P12"/>
    <mergeCell ref="H18:P18"/>
    <mergeCell ref="H20:P20"/>
    <mergeCell ref="AI16:AL16"/>
    <mergeCell ref="H15:P15"/>
    <mergeCell ref="AI11:AL11"/>
    <mergeCell ref="AM11:AO11"/>
    <mergeCell ref="H19:P19"/>
    <mergeCell ref="AI15:AL15"/>
    <mergeCell ref="AM16:AO16"/>
    <mergeCell ref="AI18:AL18"/>
    <mergeCell ref="Q12:AO12"/>
    <mergeCell ref="Q13:AO13"/>
    <mergeCell ref="H16:P16"/>
    <mergeCell ref="Q14:Y14"/>
    <mergeCell ref="Q15:Y15"/>
    <mergeCell ref="Z14:AH14"/>
    <mergeCell ref="H4:P4"/>
    <mergeCell ref="A6:G7"/>
    <mergeCell ref="H6:P7"/>
    <mergeCell ref="Q6:Z7"/>
    <mergeCell ref="Q4:Z4"/>
    <mergeCell ref="A8:G9"/>
    <mergeCell ref="H8:P8"/>
    <mergeCell ref="Q8:Z8"/>
    <mergeCell ref="H9:P9"/>
    <mergeCell ref="Q9:Z9"/>
    <mergeCell ref="A1:AO1"/>
    <mergeCell ref="A2:AO2"/>
    <mergeCell ref="B32:G32"/>
    <mergeCell ref="H32:P32"/>
    <mergeCell ref="B12:G13"/>
    <mergeCell ref="A12:A13"/>
    <mergeCell ref="B11:G11"/>
    <mergeCell ref="H11:P11"/>
    <mergeCell ref="Q11:AH11"/>
    <mergeCell ref="A10:AO10"/>
    <mergeCell ref="A3:K3"/>
    <mergeCell ref="AG9:AO9"/>
    <mergeCell ref="A5:G5"/>
    <mergeCell ref="H5:P5"/>
    <mergeCell ref="Q5:Z5"/>
    <mergeCell ref="AA6:AO6"/>
    <mergeCell ref="AA7:AO7"/>
    <mergeCell ref="AA5:AO5"/>
    <mergeCell ref="H13:P13"/>
    <mergeCell ref="AA4:AD4"/>
    <mergeCell ref="AE4:AO4"/>
    <mergeCell ref="A4:G4"/>
    <mergeCell ref="AI26:AL26"/>
    <mergeCell ref="AM26:AO26"/>
    <mergeCell ref="B45:G45"/>
    <mergeCell ref="H27:P27"/>
    <mergeCell ref="AI17:AL17"/>
    <mergeCell ref="B42:G42"/>
    <mergeCell ref="H42:AO42"/>
    <mergeCell ref="B37:G37"/>
    <mergeCell ref="H37:AO37"/>
    <mergeCell ref="B36:G36"/>
    <mergeCell ref="H36:AO36"/>
    <mergeCell ref="A35:AO35"/>
    <mergeCell ref="A33:AH33"/>
    <mergeCell ref="A34:AH34"/>
    <mergeCell ref="AI34:AO34"/>
    <mergeCell ref="B39:G39"/>
    <mergeCell ref="H39:AO39"/>
    <mergeCell ref="B40:G40"/>
    <mergeCell ref="H40:AO40"/>
    <mergeCell ref="B41:G41"/>
    <mergeCell ref="H41:AO41"/>
    <mergeCell ref="AM21:AO21"/>
    <mergeCell ref="H45:AO45"/>
    <mergeCell ref="AM23:AO23"/>
    <mergeCell ref="AM25:AO25"/>
    <mergeCell ref="H26:P26"/>
    <mergeCell ref="AM27:AO27"/>
    <mergeCell ref="AM24:AO24"/>
    <mergeCell ref="B14:G14"/>
    <mergeCell ref="H14:P14"/>
    <mergeCell ref="H17:P17"/>
    <mergeCell ref="AM17:AO17"/>
    <mergeCell ref="H22:P22"/>
    <mergeCell ref="AI22:AL22"/>
    <mergeCell ref="AM22:AO22"/>
    <mergeCell ref="B21:G21"/>
    <mergeCell ref="AI21:AL21"/>
    <mergeCell ref="H21:N21"/>
    <mergeCell ref="B22:G23"/>
    <mergeCell ref="B15:G20"/>
    <mergeCell ref="H23:N23"/>
    <mergeCell ref="AI23:AL23"/>
    <mergeCell ref="AI14:AL14"/>
    <mergeCell ref="AM14:AO14"/>
    <mergeCell ref="AM18:AO18"/>
    <mergeCell ref="AI20:AL20"/>
    <mergeCell ref="AM20:AO20"/>
    <mergeCell ref="AM15:AO15"/>
    <mergeCell ref="Q22:Y22"/>
    <mergeCell ref="Z22:AH22"/>
    <mergeCell ref="A15:A20"/>
    <mergeCell ref="A22:A23"/>
    <mergeCell ref="A25:A27"/>
    <mergeCell ref="B25:G27"/>
    <mergeCell ref="H25:P25"/>
    <mergeCell ref="AI25:AL25"/>
    <mergeCell ref="B24:G24"/>
    <mergeCell ref="AI24:AL24"/>
    <mergeCell ref="H24:N24"/>
    <mergeCell ref="Z15:AH15"/>
    <mergeCell ref="Q16:Y16"/>
    <mergeCell ref="Z16:AH16"/>
    <mergeCell ref="Q17:Y17"/>
    <mergeCell ref="Z17:AH17"/>
    <mergeCell ref="Q18:Y18"/>
    <mergeCell ref="Z18:AH18"/>
    <mergeCell ref="Q19:Y19"/>
    <mergeCell ref="Z19:AH19"/>
    <mergeCell ref="Z20:AH20"/>
    <mergeCell ref="Q20:Y20"/>
    <mergeCell ref="Q21:Y21"/>
    <mergeCell ref="Z21:AH21"/>
    <mergeCell ref="AI27:AL27"/>
    <mergeCell ref="Q23:Y23"/>
    <mergeCell ref="B44:G44"/>
    <mergeCell ref="H44:AO44"/>
    <mergeCell ref="A28:A31"/>
    <mergeCell ref="B28:G31"/>
    <mergeCell ref="H28:P31"/>
    <mergeCell ref="AI28:AL28"/>
    <mergeCell ref="AM28:AO28"/>
    <mergeCell ref="AI31:AL31"/>
    <mergeCell ref="AM31:AO31"/>
    <mergeCell ref="B43:G43"/>
    <mergeCell ref="H43:AO43"/>
    <mergeCell ref="B38:G38"/>
    <mergeCell ref="H38:AO38"/>
    <mergeCell ref="AI32:AL32"/>
    <mergeCell ref="AI33:AO33"/>
    <mergeCell ref="AM32:AO32"/>
    <mergeCell ref="Q29:Y29"/>
    <mergeCell ref="Q30:Y30"/>
    <mergeCell ref="Z29:AH29"/>
    <mergeCell ref="Z30:AH30"/>
    <mergeCell ref="AI29:AL29"/>
    <mergeCell ref="AI30:AL30"/>
    <mergeCell ref="AM29:AO29"/>
    <mergeCell ref="AM30:AO30"/>
  </mergeCells>
  <phoneticPr fontId="17"/>
  <dataValidations count="10">
    <dataValidation type="list" allowBlank="1" showInputMessage="1" showErrorMessage="1" sqref="H5:P5">
      <formula1>"Please select job level,Fresher, Junior, Experience, senior"</formula1>
    </dataValidation>
    <dataValidation type="list" allowBlank="1" showInputMessage="1" sqref="H4:P4">
      <formula1>"Please select Applied Position, SA, Dev, Test, QA, Comtor,PM,BA, Admin, Other"</formula1>
    </dataValidation>
    <dataValidation type="list" allowBlank="1" showInputMessage="1" sqref="H25:P26">
      <formula1>"Presentation skill, Communication skill, Negotiate skill, Problem solving skill, Attitude, Work under presure"</formula1>
    </dataValidation>
    <dataValidation type="list" allowBlank="1" showInputMessage="1" sqref="H28:P31">
      <formula1>"English, Japanese, Korean, French, German, Chinese"</formula1>
    </dataValidation>
    <dataValidation type="list" allowBlank="1" showInputMessage="1" sqref="Q32">
      <formula1>"Level 1, Level2, Level 3, Level 4"</formula1>
    </dataValidation>
    <dataValidation type="list" allowBlank="1" showInputMessage="1" sqref="AG8">
      <formula1>"Please select graduated rank, Excellent, Very Good, Good, Bad"</formula1>
    </dataValidation>
    <dataValidation type="list" allowBlank="1" showInputMessage="1" sqref="H32:P32 H22:P22 H23">
      <formula1>#REF!</formula1>
    </dataValidation>
    <dataValidation type="list" allowBlank="1" showInputMessage="1" showErrorMessage="1" sqref="AM32:AO32">
      <formula1>"Yes,No"</formula1>
    </dataValidation>
    <dataValidation type="list" allowBlank="1" showInputMessage="1" showErrorMessage="1" sqref="AM25:AO27">
      <formula1>"1,2,3,4,5,6"</formula1>
    </dataValidation>
    <dataValidation allowBlank="1" showInputMessage="1" sqref="H15:P20"/>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14:formula1>
            <xm:f>Reference!$D$2:$D$7</xm:f>
          </x14:formula1>
          <xm:sqref>AM28:AO31</xm:sqref>
        </x14:dataValidation>
        <x14:dataValidation type="list" allowBlank="1" showInputMessage="1" showErrorMessage="1">
          <x14:formula1>
            <xm:f>Reference!$B$2:$B$7</xm:f>
          </x14:formula1>
          <xm:sqref>AM14:AO24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selection activeCell="A3" sqref="A3"/>
    </sheetView>
  </sheetViews>
  <sheetFormatPr defaultRowHeight="14.25"/>
  <sheetData>
    <row r="1" spans="1:1">
      <c r="A1" s="25" t="s">
        <v>166</v>
      </c>
    </row>
    <row r="2" spans="1:1">
      <c r="A2" s="25" t="s">
        <v>167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3"/>
  <sheetViews>
    <sheetView topLeftCell="A13" workbookViewId="0">
      <selection activeCell="D21" sqref="D21"/>
    </sheetView>
  </sheetViews>
  <sheetFormatPr defaultRowHeight="14.25"/>
  <cols>
    <col min="1" max="1" width="4.73046875" customWidth="1"/>
    <col min="2" max="2" width="8" customWidth="1"/>
    <col min="3" max="3" width="42.86328125" customWidth="1"/>
    <col min="4" max="4" width="57.73046875" customWidth="1"/>
    <col min="5" max="5" width="17.86328125" customWidth="1"/>
  </cols>
  <sheetData>
    <row r="1" spans="1:5" s="37" customFormat="1">
      <c r="A1" s="35" t="s">
        <v>168</v>
      </c>
      <c r="B1" s="35" t="s">
        <v>169</v>
      </c>
      <c r="C1" s="36" t="s">
        <v>170</v>
      </c>
      <c r="D1" s="36" t="s">
        <v>171</v>
      </c>
      <c r="E1" s="37" t="s">
        <v>172</v>
      </c>
    </row>
    <row r="2" spans="1:5" s="37" customFormat="1">
      <c r="A2" s="53">
        <v>1</v>
      </c>
      <c r="B2" s="53" t="s">
        <v>173</v>
      </c>
      <c r="C2" s="54" t="s">
        <v>170</v>
      </c>
      <c r="D2" s="54" t="s">
        <v>174</v>
      </c>
      <c r="E2" s="55"/>
    </row>
    <row r="3" spans="1:5" s="37" customFormat="1">
      <c r="A3" s="53">
        <v>2</v>
      </c>
      <c r="B3" s="53" t="s">
        <v>173</v>
      </c>
      <c r="C3" s="54" t="s">
        <v>170</v>
      </c>
      <c r="D3" s="54" t="s">
        <v>175</v>
      </c>
      <c r="E3" s="55"/>
    </row>
    <row r="4" spans="1:5" s="37" customFormat="1">
      <c r="A4" s="53">
        <v>3</v>
      </c>
      <c r="B4" s="53" t="s">
        <v>173</v>
      </c>
      <c r="C4" s="54" t="s">
        <v>170</v>
      </c>
      <c r="D4" s="54" t="s">
        <v>176</v>
      </c>
      <c r="E4" s="55"/>
    </row>
    <row r="5" spans="1:5" s="37" customFormat="1">
      <c r="A5" s="53">
        <v>4</v>
      </c>
      <c r="B5" s="53" t="s">
        <v>173</v>
      </c>
      <c r="C5" s="54" t="s">
        <v>170</v>
      </c>
      <c r="D5" s="54" t="s">
        <v>177</v>
      </c>
      <c r="E5" s="55"/>
    </row>
    <row r="6" spans="1:5" s="37" customFormat="1">
      <c r="A6" s="53">
        <v>5</v>
      </c>
      <c r="B6" s="53" t="s">
        <v>173</v>
      </c>
      <c r="C6" s="58" t="s">
        <v>170</v>
      </c>
      <c r="D6" s="58" t="s">
        <v>178</v>
      </c>
      <c r="E6" s="57"/>
    </row>
    <row r="7" spans="1:5" s="37" customFormat="1">
      <c r="A7" s="53">
        <v>6</v>
      </c>
      <c r="B7" s="53" t="s">
        <v>173</v>
      </c>
      <c r="C7" s="58" t="s">
        <v>170</v>
      </c>
      <c r="D7" s="58" t="s">
        <v>179</v>
      </c>
      <c r="E7" s="56"/>
    </row>
    <row r="8" spans="1:5" s="37" customFormat="1" ht="28.5">
      <c r="A8" s="53">
        <v>7</v>
      </c>
      <c r="B8" s="53" t="s">
        <v>173</v>
      </c>
      <c r="C8" s="59" t="s">
        <v>180</v>
      </c>
      <c r="D8" s="56" t="s">
        <v>181</v>
      </c>
      <c r="E8" s="56"/>
    </row>
    <row r="9" spans="1:5" s="37" customFormat="1">
      <c r="A9" s="53">
        <v>8</v>
      </c>
      <c r="B9" s="53" t="s">
        <v>173</v>
      </c>
      <c r="C9" s="59" t="s">
        <v>170</v>
      </c>
      <c r="D9" s="56" t="s">
        <v>182</v>
      </c>
      <c r="E9" s="57"/>
    </row>
    <row r="10" spans="1:5" s="37" customFormat="1" ht="28.5">
      <c r="A10" s="53">
        <v>9</v>
      </c>
      <c r="B10" s="53" t="s">
        <v>173</v>
      </c>
      <c r="C10" s="58" t="s">
        <v>170</v>
      </c>
      <c r="D10" s="58" t="s">
        <v>183</v>
      </c>
      <c r="E10" s="57"/>
    </row>
    <row r="11" spans="1:5" s="37" customFormat="1" ht="28.5">
      <c r="A11" s="53">
        <v>10</v>
      </c>
      <c r="B11" s="53" t="s">
        <v>173</v>
      </c>
      <c r="C11" s="58" t="s">
        <v>170</v>
      </c>
      <c r="D11" s="58" t="s">
        <v>184</v>
      </c>
      <c r="E11" s="57"/>
    </row>
    <row r="12" spans="1:5" s="37" customFormat="1">
      <c r="A12" s="53">
        <v>11</v>
      </c>
      <c r="B12" s="53" t="s">
        <v>173</v>
      </c>
      <c r="C12" s="58" t="s">
        <v>170</v>
      </c>
      <c r="D12" s="58" t="s">
        <v>185</v>
      </c>
      <c r="E12" s="57"/>
    </row>
    <row r="13" spans="1:5" s="37" customFormat="1">
      <c r="A13" s="53">
        <v>12</v>
      </c>
      <c r="B13" s="53" t="s">
        <v>173</v>
      </c>
      <c r="C13" s="58" t="s">
        <v>170</v>
      </c>
      <c r="D13" s="58" t="s">
        <v>186</v>
      </c>
      <c r="E13" s="57"/>
    </row>
    <row r="14" spans="1:5" s="37" customFormat="1">
      <c r="A14" s="53">
        <v>13</v>
      </c>
      <c r="B14" s="53" t="s">
        <v>173</v>
      </c>
      <c r="C14" s="58" t="s">
        <v>170</v>
      </c>
      <c r="D14" s="58" t="s">
        <v>187</v>
      </c>
      <c r="E14" s="57"/>
    </row>
    <row r="15" spans="1:5" s="37" customFormat="1">
      <c r="A15" s="53">
        <v>14</v>
      </c>
      <c r="B15" s="53" t="s">
        <v>173</v>
      </c>
      <c r="C15" s="58" t="s">
        <v>170</v>
      </c>
      <c r="D15" s="58" t="s">
        <v>188</v>
      </c>
      <c r="E15" s="56"/>
    </row>
    <row r="16" spans="1:5" s="37" customFormat="1" ht="28.5">
      <c r="A16" s="53">
        <v>15</v>
      </c>
      <c r="B16" s="53" t="s">
        <v>173</v>
      </c>
      <c r="C16" s="58" t="s">
        <v>170</v>
      </c>
      <c r="D16" s="58" t="s">
        <v>189</v>
      </c>
      <c r="E16" s="57"/>
    </row>
    <row r="17" spans="1:5" s="37" customFormat="1" ht="28.5">
      <c r="A17" s="53">
        <v>16</v>
      </c>
      <c r="B17" s="53" t="s">
        <v>190</v>
      </c>
      <c r="C17" s="58" t="s">
        <v>191</v>
      </c>
      <c r="D17" s="58" t="s">
        <v>192</v>
      </c>
      <c r="E17" s="57" t="s">
        <v>193</v>
      </c>
    </row>
    <row r="18" spans="1:5" s="37" customFormat="1" ht="28.5">
      <c r="A18" s="53">
        <v>17</v>
      </c>
      <c r="B18" s="53" t="s">
        <v>194</v>
      </c>
      <c r="C18" s="58" t="s">
        <v>195</v>
      </c>
      <c r="D18" s="58" t="s">
        <v>196</v>
      </c>
      <c r="E18" s="57" t="s">
        <v>197</v>
      </c>
    </row>
    <row r="19" spans="1:5" s="37" customFormat="1" ht="28.5">
      <c r="A19" s="53">
        <v>18</v>
      </c>
      <c r="B19" s="53" t="s">
        <v>190</v>
      </c>
      <c r="C19" s="58" t="s">
        <v>191</v>
      </c>
      <c r="D19" s="58" t="s">
        <v>198</v>
      </c>
      <c r="E19" s="57" t="s">
        <v>199</v>
      </c>
    </row>
    <row r="20" spans="1:5" s="37" customFormat="1" ht="42.75">
      <c r="A20" s="53">
        <v>19</v>
      </c>
      <c r="B20" s="53" t="s">
        <v>190</v>
      </c>
      <c r="C20" s="58" t="s">
        <v>191</v>
      </c>
      <c r="D20" s="58" t="s">
        <v>200</v>
      </c>
      <c r="E20" s="57" t="s">
        <v>201</v>
      </c>
    </row>
    <row r="21" spans="1:5" s="37" customFormat="1">
      <c r="A21" s="53">
        <v>20</v>
      </c>
      <c r="B21" s="53" t="s">
        <v>190</v>
      </c>
      <c r="C21" s="58" t="s">
        <v>191</v>
      </c>
      <c r="D21" s="58" t="s">
        <v>202</v>
      </c>
      <c r="E21" s="57"/>
    </row>
    <row r="22" spans="1:5" s="37" customFormat="1">
      <c r="A22" s="53">
        <v>21</v>
      </c>
      <c r="B22" s="53" t="s">
        <v>190</v>
      </c>
      <c r="C22" s="58" t="s">
        <v>191</v>
      </c>
      <c r="D22" s="58" t="s">
        <v>203</v>
      </c>
      <c r="E22" s="57"/>
    </row>
    <row r="23" spans="1:5" s="37" customFormat="1" ht="28.5">
      <c r="A23" s="53">
        <v>22</v>
      </c>
      <c r="B23" s="53" t="s">
        <v>190</v>
      </c>
      <c r="C23" s="58" t="s">
        <v>191</v>
      </c>
      <c r="D23" s="58" t="s">
        <v>204</v>
      </c>
      <c r="E23" s="56" t="s">
        <v>205</v>
      </c>
    </row>
    <row r="24" spans="1:5" s="37" customFormat="1">
      <c r="A24" s="53">
        <v>23</v>
      </c>
      <c r="B24" s="53" t="s">
        <v>190</v>
      </c>
      <c r="C24" s="58" t="s">
        <v>191</v>
      </c>
      <c r="D24" s="58" t="s">
        <v>206</v>
      </c>
      <c r="E24" s="57"/>
    </row>
    <row r="25" spans="1:5" s="37" customFormat="1" ht="28.5">
      <c r="A25" s="53">
        <v>24</v>
      </c>
      <c r="B25" s="53" t="s">
        <v>190</v>
      </c>
      <c r="C25" s="58" t="s">
        <v>191</v>
      </c>
      <c r="D25" s="58" t="s">
        <v>207</v>
      </c>
      <c r="E25" s="57" t="s">
        <v>208</v>
      </c>
    </row>
    <row r="26" spans="1:5" s="37" customFormat="1">
      <c r="A26" s="53">
        <v>25</v>
      </c>
      <c r="B26" s="53" t="s">
        <v>190</v>
      </c>
      <c r="C26" s="58" t="s">
        <v>191</v>
      </c>
      <c r="D26" s="58" t="s">
        <v>209</v>
      </c>
      <c r="E26" s="57"/>
    </row>
    <row r="27" spans="1:5" s="37" customFormat="1">
      <c r="A27" s="53">
        <v>26</v>
      </c>
      <c r="B27" s="53" t="s">
        <v>190</v>
      </c>
      <c r="C27" s="58" t="s">
        <v>191</v>
      </c>
      <c r="D27" s="58" t="s">
        <v>210</v>
      </c>
      <c r="E27" s="57"/>
    </row>
    <row r="28" spans="1:5" s="37" customFormat="1">
      <c r="A28" s="53">
        <v>27</v>
      </c>
      <c r="B28" s="53" t="s">
        <v>190</v>
      </c>
      <c r="C28" s="58" t="s">
        <v>191</v>
      </c>
      <c r="D28" s="58" t="s">
        <v>211</v>
      </c>
      <c r="E28" s="57"/>
    </row>
    <row r="29" spans="1:5" s="37" customFormat="1">
      <c r="A29" s="53">
        <v>28</v>
      </c>
      <c r="B29" s="53" t="s">
        <v>190</v>
      </c>
      <c r="C29" s="58" t="s">
        <v>191</v>
      </c>
      <c r="D29" s="58" t="s">
        <v>212</v>
      </c>
      <c r="E29" s="57"/>
    </row>
    <row r="30" spans="1:5" s="37" customFormat="1">
      <c r="A30" s="53">
        <v>29</v>
      </c>
      <c r="B30" s="53" t="s">
        <v>173</v>
      </c>
      <c r="C30" s="58" t="s">
        <v>213</v>
      </c>
      <c r="D30" s="58" t="s">
        <v>214</v>
      </c>
      <c r="E30" s="57"/>
    </row>
    <row r="31" spans="1:5" s="37" customFormat="1" ht="28.5">
      <c r="A31" s="53">
        <v>30</v>
      </c>
      <c r="B31" s="53" t="s">
        <v>173</v>
      </c>
      <c r="C31" s="58" t="s">
        <v>213</v>
      </c>
      <c r="D31" s="58" t="s">
        <v>215</v>
      </c>
      <c r="E31" s="57"/>
    </row>
    <row r="32" spans="1:5" s="37" customFormat="1">
      <c r="A32" s="53">
        <v>31</v>
      </c>
      <c r="B32" s="53" t="s">
        <v>216</v>
      </c>
      <c r="C32" s="58" t="s">
        <v>217</v>
      </c>
      <c r="D32" s="58" t="s">
        <v>218</v>
      </c>
      <c r="E32" s="57"/>
    </row>
    <row r="33" spans="1:5" s="37" customFormat="1">
      <c r="A33" s="53">
        <v>32</v>
      </c>
      <c r="B33" s="53" t="s">
        <v>216</v>
      </c>
      <c r="C33" s="58" t="s">
        <v>217</v>
      </c>
      <c r="D33" s="58" t="s">
        <v>219</v>
      </c>
      <c r="E33" s="57"/>
    </row>
    <row r="34" spans="1:5" s="37" customFormat="1">
      <c r="A34" s="53">
        <v>33</v>
      </c>
      <c r="B34" s="53" t="s">
        <v>216</v>
      </c>
      <c r="C34" s="58" t="s">
        <v>220</v>
      </c>
      <c r="D34" s="58" t="s">
        <v>221</v>
      </c>
      <c r="E34" s="57"/>
    </row>
    <row r="35" spans="1:5" s="37" customFormat="1">
      <c r="A35" s="53">
        <v>34</v>
      </c>
      <c r="B35" s="53" t="s">
        <v>216</v>
      </c>
      <c r="C35" s="58" t="s">
        <v>222</v>
      </c>
      <c r="D35" s="58" t="s">
        <v>223</v>
      </c>
      <c r="E35" s="57"/>
    </row>
    <row r="36" spans="1:5" s="37" customFormat="1">
      <c r="A36" s="53">
        <v>35</v>
      </c>
      <c r="B36" s="53" t="s">
        <v>216</v>
      </c>
      <c r="C36" s="58" t="s">
        <v>224</v>
      </c>
      <c r="D36" s="58" t="s">
        <v>225</v>
      </c>
      <c r="E36" s="57"/>
    </row>
    <row r="37" spans="1:5" s="37" customFormat="1">
      <c r="A37" s="53">
        <v>36</v>
      </c>
      <c r="B37" s="53" t="s">
        <v>216</v>
      </c>
      <c r="C37" s="58" t="s">
        <v>224</v>
      </c>
      <c r="D37" s="58" t="s">
        <v>226</v>
      </c>
      <c r="E37" s="56"/>
    </row>
    <row r="38" spans="1:5" s="37" customFormat="1">
      <c r="A38" s="53">
        <v>37</v>
      </c>
      <c r="B38" s="53" t="s">
        <v>216</v>
      </c>
      <c r="C38" s="58" t="s">
        <v>224</v>
      </c>
      <c r="D38" s="58" t="s">
        <v>227</v>
      </c>
      <c r="E38" s="57"/>
    </row>
    <row r="39" spans="1:5" s="37" customFormat="1">
      <c r="A39" s="53">
        <v>38</v>
      </c>
      <c r="B39" s="53" t="s">
        <v>216</v>
      </c>
      <c r="C39" s="58" t="s">
        <v>228</v>
      </c>
      <c r="D39" s="58" t="s">
        <v>229</v>
      </c>
      <c r="E39" s="57"/>
    </row>
    <row r="40" spans="1:5" s="37" customFormat="1">
      <c r="A40" s="53">
        <v>39</v>
      </c>
      <c r="B40" s="53" t="s">
        <v>194</v>
      </c>
      <c r="C40" s="58" t="s">
        <v>228</v>
      </c>
      <c r="D40" s="58" t="s">
        <v>230</v>
      </c>
      <c r="E40" s="57"/>
    </row>
    <row r="41" spans="1:5" s="37" customFormat="1">
      <c r="A41" s="53">
        <v>40</v>
      </c>
      <c r="B41" s="53" t="s">
        <v>216</v>
      </c>
      <c r="C41" s="58" t="s">
        <v>228</v>
      </c>
      <c r="D41" s="58" t="s">
        <v>231</v>
      </c>
      <c r="E41" s="56"/>
    </row>
    <row r="42" spans="1:5" s="37" customFormat="1">
      <c r="A42" s="53">
        <v>41</v>
      </c>
      <c r="B42" s="53" t="s">
        <v>216</v>
      </c>
      <c r="C42" s="58" t="s">
        <v>232</v>
      </c>
      <c r="D42" s="58" t="s">
        <v>233</v>
      </c>
      <c r="E42" s="57"/>
    </row>
    <row r="43" spans="1:5" s="37" customFormat="1" ht="28.5">
      <c r="A43" s="53">
        <v>42</v>
      </c>
      <c r="B43" s="53" t="s">
        <v>194</v>
      </c>
      <c r="C43" s="59" t="s">
        <v>232</v>
      </c>
      <c r="D43" s="56" t="s">
        <v>234</v>
      </c>
      <c r="E43" s="57"/>
    </row>
    <row r="44" spans="1:5" s="37" customFormat="1" ht="28.5">
      <c r="A44" s="53">
        <v>43</v>
      </c>
      <c r="B44" s="53" t="s">
        <v>194</v>
      </c>
      <c r="C44" s="58" t="s">
        <v>195</v>
      </c>
      <c r="D44" s="58" t="s">
        <v>235</v>
      </c>
      <c r="E44" s="57"/>
    </row>
    <row r="45" spans="1:5" s="37" customFormat="1">
      <c r="A45" s="53">
        <v>44</v>
      </c>
      <c r="B45" s="53" t="s">
        <v>194</v>
      </c>
      <c r="C45" s="58" t="s">
        <v>195</v>
      </c>
      <c r="D45" s="58" t="s">
        <v>236</v>
      </c>
      <c r="E45" s="56"/>
    </row>
    <row r="46" spans="1:5" s="37" customFormat="1">
      <c r="A46" s="53">
        <v>45</v>
      </c>
      <c r="B46" s="53" t="s">
        <v>194</v>
      </c>
      <c r="C46" s="58" t="s">
        <v>237</v>
      </c>
      <c r="D46" s="58" t="s">
        <v>238</v>
      </c>
      <c r="E46" s="57"/>
    </row>
    <row r="47" spans="1:5" s="37" customFormat="1" ht="28.5">
      <c r="A47" s="53">
        <v>46</v>
      </c>
      <c r="B47" s="53" t="s">
        <v>194</v>
      </c>
      <c r="C47" s="58" t="s">
        <v>133</v>
      </c>
      <c r="D47" s="58" t="s">
        <v>239</v>
      </c>
      <c r="E47" s="57"/>
    </row>
    <row r="48" spans="1:5" s="37" customFormat="1">
      <c r="A48" s="53">
        <v>47</v>
      </c>
      <c r="B48" s="53" t="s">
        <v>194</v>
      </c>
      <c r="C48" s="58" t="s">
        <v>224</v>
      </c>
      <c r="D48" s="58" t="s">
        <v>240</v>
      </c>
      <c r="E48" s="57"/>
    </row>
    <row r="49" spans="1:5" s="37" customFormat="1" ht="28.5">
      <c r="A49" s="53">
        <v>48</v>
      </c>
      <c r="B49" s="53" t="s">
        <v>194</v>
      </c>
      <c r="C49" s="58" t="s">
        <v>241</v>
      </c>
      <c r="D49" s="58" t="s">
        <v>242</v>
      </c>
      <c r="E49" s="57" t="s">
        <v>243</v>
      </c>
    </row>
    <row r="50" spans="1:5" s="37" customFormat="1" ht="28.5">
      <c r="A50" s="53">
        <v>49</v>
      </c>
      <c r="B50" s="53" t="s">
        <v>194</v>
      </c>
      <c r="C50" s="58" t="s">
        <v>224</v>
      </c>
      <c r="D50" s="58" t="s">
        <v>244</v>
      </c>
      <c r="E50" s="56"/>
    </row>
    <row r="51" spans="1:5" s="37" customFormat="1">
      <c r="A51" s="53">
        <v>50</v>
      </c>
      <c r="B51" s="53" t="s">
        <v>194</v>
      </c>
      <c r="C51" s="58" t="s">
        <v>245</v>
      </c>
      <c r="D51" s="58" t="s">
        <v>246</v>
      </c>
      <c r="E51" s="56"/>
    </row>
    <row r="52" spans="1:5" s="37" customFormat="1">
      <c r="A52" s="53">
        <v>51</v>
      </c>
      <c r="B52" s="53" t="s">
        <v>194</v>
      </c>
      <c r="C52" s="58" t="s">
        <v>245</v>
      </c>
      <c r="D52" s="58" t="s">
        <v>247</v>
      </c>
      <c r="E52" s="57"/>
    </row>
    <row r="53" spans="1:5" s="37" customFormat="1">
      <c r="A53" s="53">
        <v>52</v>
      </c>
      <c r="B53" s="53" t="s">
        <v>194</v>
      </c>
      <c r="C53" s="58" t="s">
        <v>245</v>
      </c>
      <c r="D53" s="58" t="s">
        <v>248</v>
      </c>
      <c r="E53" s="56"/>
    </row>
    <row r="54" spans="1:5" s="37" customFormat="1">
      <c r="A54" s="53">
        <v>53</v>
      </c>
      <c r="B54" s="53"/>
      <c r="C54" s="58"/>
      <c r="D54" s="58"/>
      <c r="E54" s="56"/>
    </row>
    <row r="55" spans="1:5" s="37" customFormat="1">
      <c r="A55" s="53">
        <v>54</v>
      </c>
      <c r="B55" s="53"/>
      <c r="C55" s="58"/>
      <c r="D55" s="56"/>
    </row>
    <row r="56" spans="1:5" s="37" customFormat="1">
      <c r="A56" s="53">
        <v>55</v>
      </c>
      <c r="B56" s="53"/>
      <c r="C56" s="58"/>
      <c r="D56" s="57"/>
    </row>
    <row r="57" spans="1:5" s="37" customFormat="1">
      <c r="A57" s="53">
        <v>56</v>
      </c>
      <c r="B57" s="53"/>
      <c r="C57" s="58"/>
      <c r="D57" s="57"/>
    </row>
    <row r="58" spans="1:5" s="37" customFormat="1">
      <c r="A58" s="53">
        <v>57</v>
      </c>
      <c r="B58" s="53"/>
      <c r="C58" s="58"/>
      <c r="D58" s="57"/>
    </row>
    <row r="59" spans="1:5" s="37" customFormat="1">
      <c r="A59" s="53">
        <v>58</v>
      </c>
      <c r="B59" s="53"/>
      <c r="C59" s="58"/>
      <c r="D59" s="56"/>
    </row>
    <row r="60" spans="1:5" s="37" customFormat="1">
      <c r="A60" s="53">
        <v>59</v>
      </c>
      <c r="B60" s="53"/>
      <c r="C60" s="58"/>
      <c r="D60" s="56"/>
    </row>
    <row r="61" spans="1:5" s="37" customFormat="1">
      <c r="A61" s="53">
        <v>60</v>
      </c>
      <c r="B61" s="53"/>
      <c r="C61" s="58"/>
      <c r="D61" s="56"/>
    </row>
    <row r="62" spans="1:5" s="37" customFormat="1">
      <c r="A62" s="53">
        <v>61</v>
      </c>
      <c r="B62" s="53"/>
      <c r="C62" s="58"/>
      <c r="D62" s="56"/>
    </row>
    <row r="63" spans="1:5" s="37" customFormat="1">
      <c r="A63" s="53">
        <v>62</v>
      </c>
      <c r="B63" s="53"/>
      <c r="C63" s="58"/>
      <c r="D63" s="56"/>
    </row>
  </sheetData>
  <autoFilter ref="A1:E63"/>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
  <sheetViews>
    <sheetView zoomScale="98" zoomScaleNormal="98" workbookViewId="0">
      <selection activeCell="F19" sqref="F19"/>
    </sheetView>
  </sheetViews>
  <sheetFormatPr defaultRowHeight="14.25"/>
  <cols>
    <col min="2" max="2" width="23.265625" bestFit="1" customWidth="1"/>
    <col min="4" max="4" width="19.86328125" customWidth="1"/>
    <col min="6" max="6" width="18.86328125" customWidth="1"/>
  </cols>
  <sheetData>
    <row r="1" spans="1:7" s="25" customFormat="1">
      <c r="A1" s="40" t="s">
        <v>249</v>
      </c>
      <c r="B1" s="40"/>
      <c r="C1" s="40"/>
      <c r="D1" s="39" t="s">
        <v>144</v>
      </c>
      <c r="E1" s="39"/>
      <c r="F1" s="41" t="s">
        <v>250</v>
      </c>
      <c r="G1" s="41"/>
    </row>
    <row r="2" spans="1:7" s="25" customFormat="1">
      <c r="A2" s="40"/>
      <c r="B2" s="40" t="s">
        <v>251</v>
      </c>
      <c r="C2" s="40">
        <v>0</v>
      </c>
      <c r="D2" s="39" t="s">
        <v>252</v>
      </c>
      <c r="E2" s="40">
        <v>0</v>
      </c>
      <c r="F2" s="42"/>
      <c r="G2" s="42"/>
    </row>
    <row r="3" spans="1:7">
      <c r="A3" s="40"/>
      <c r="B3" s="40" t="s">
        <v>114</v>
      </c>
      <c r="C3" s="40">
        <v>1</v>
      </c>
      <c r="D3" s="39" t="s">
        <v>253</v>
      </c>
      <c r="E3" s="40">
        <v>1</v>
      </c>
      <c r="F3" s="42"/>
      <c r="G3" s="42"/>
    </row>
    <row r="4" spans="1:7">
      <c r="A4" s="40"/>
      <c r="B4" s="40" t="s">
        <v>120</v>
      </c>
      <c r="C4" s="40">
        <v>2</v>
      </c>
      <c r="D4" s="39" t="s">
        <v>254</v>
      </c>
      <c r="E4" s="40">
        <v>2</v>
      </c>
      <c r="F4" s="42"/>
      <c r="G4" s="42"/>
    </row>
    <row r="5" spans="1:7">
      <c r="A5" s="40"/>
      <c r="B5" s="40" t="s">
        <v>17</v>
      </c>
      <c r="C5" s="40">
        <v>3</v>
      </c>
      <c r="D5" s="39" t="s">
        <v>255</v>
      </c>
      <c r="E5" s="40">
        <v>3</v>
      </c>
      <c r="F5" s="42"/>
      <c r="G5" s="42"/>
    </row>
    <row r="6" spans="1:7">
      <c r="A6" s="40"/>
      <c r="B6" s="40" t="s">
        <v>110</v>
      </c>
      <c r="C6" s="40">
        <v>4</v>
      </c>
      <c r="D6" s="39" t="s">
        <v>145</v>
      </c>
      <c r="E6" s="40">
        <v>4</v>
      </c>
      <c r="F6" s="43"/>
      <c r="G6" s="43"/>
    </row>
    <row r="7" spans="1:7">
      <c r="A7" s="40"/>
      <c r="B7" s="40" t="s">
        <v>256</v>
      </c>
      <c r="C7" s="40">
        <v>5</v>
      </c>
      <c r="D7" s="39" t="s">
        <v>257</v>
      </c>
      <c r="E7" s="40">
        <v>5</v>
      </c>
      <c r="F7" s="42"/>
      <c r="G7" s="42"/>
    </row>
  </sheetData>
  <phoneticPr fontId="17"/>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7041C4005FEA844A5AAF94BE09E1C6F" ma:contentTypeVersion="4" ma:contentTypeDescription="Create a new document." ma:contentTypeScope="" ma:versionID="eef95d1267398650bad06194d45b1c50">
  <xsd:schema xmlns:xsd="http://www.w3.org/2001/XMLSchema" xmlns:xs="http://www.w3.org/2001/XMLSchema" xmlns:p="http://schemas.microsoft.com/office/2006/metadata/properties" xmlns:ns2="c017eca0-1591-4329-ae0b-21f6f1e0aff7" xmlns:ns3="9772c5a7-7f83-4cb5-aa6e-f8c3643ee056" targetNamespace="http://schemas.microsoft.com/office/2006/metadata/properties" ma:root="true" ma:fieldsID="a91d37b02c274b65f7c2fbd9ac763893" ns2:_="" ns3:_="">
    <xsd:import namespace="c017eca0-1591-4329-ae0b-21f6f1e0aff7"/>
    <xsd:import namespace="9772c5a7-7f83-4cb5-aa6e-f8c3643ee05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017eca0-1591-4329-ae0b-21f6f1e0aff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772c5a7-7f83-4cb5-aa6e-f8c3643ee05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344A8BB-2373-4DFE-949B-B3ADAF00A2E0}">
  <ds:schemaRefs>
    <ds:schemaRef ds:uri="http://schemas.microsoft.com/sharepoint/v3/contenttype/forms"/>
  </ds:schemaRefs>
</ds:datastoreItem>
</file>

<file path=customXml/itemProps2.xml><?xml version="1.0" encoding="utf-8"?>
<ds:datastoreItem xmlns:ds="http://schemas.openxmlformats.org/officeDocument/2006/customXml" ds:itemID="{C4579642-1CA9-47EA-BDFC-9716E91AC14B}">
  <ds:schemaRefs>
    <ds:schemaRef ds:uri="http://purl.org/dc/terms/"/>
    <ds:schemaRef ds:uri="http://schemas.microsoft.com/office/2006/documentManagement/types"/>
    <ds:schemaRef ds:uri="http://purl.org/dc/dcmitype/"/>
    <ds:schemaRef ds:uri="9772c5a7-7f83-4cb5-aa6e-f8c3643ee056"/>
    <ds:schemaRef ds:uri="http://schemas.openxmlformats.org/package/2006/metadata/core-properties"/>
    <ds:schemaRef ds:uri="http://purl.org/dc/elements/1.1/"/>
    <ds:schemaRef ds:uri="c017eca0-1591-4329-ae0b-21f6f1e0aff7"/>
    <ds:schemaRef ds:uri="http://schemas.microsoft.com/office/infopath/2007/PartnerControls"/>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F31500D6-DCAB-48F7-B3EF-46E4043D08F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017eca0-1591-4329-ae0b-21f6f1e0aff7"/>
    <ds:schemaRef ds:uri="9772c5a7-7f83-4cb5-aa6e-f8c3643ee0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Senior</vt:lpstr>
      <vt:lpstr>Guideline</vt:lpstr>
      <vt:lpstr>InterviewCheckList</vt:lpstr>
      <vt:lpstr>Sheet2</vt:lpstr>
      <vt:lpstr>Interview Bank</vt:lpstr>
      <vt:lpstr>Reference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2023-01-06T16:08:24Z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0x01010027041C4005FEA844A5AAF94BE09E1C6F</vt:lpwstr>
  </property>
</Properties>
</file>