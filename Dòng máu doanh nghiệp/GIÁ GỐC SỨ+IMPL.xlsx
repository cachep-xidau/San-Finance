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SAN DENTAL GROUP/"/>
    </mc:Choice>
  </mc:AlternateContent>
  <xr:revisionPtr revIDLastSave="0" documentId="13_ncr:1_{2AAE5C49-E6D2-8949-8BEF-9D385BE6ACE5}" xr6:coauthVersionLast="47" xr6:coauthVersionMax="47" xr10:uidLastSave="{00000000-0000-0000-0000-000000000000}"/>
  <bookViews>
    <workbookView xWindow="0" yWindow="740" windowWidth="29040" windowHeight="15840" xr2:uid="{92D7F50E-EB0A-E04E-834A-784CE7F8604A}"/>
  </bookViews>
  <sheets>
    <sheet name="SỨ" sheetId="1" r:id="rId1"/>
    <sheet name="IMPL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7" i="2"/>
  <c r="E5" i="2"/>
  <c r="E6" i="2"/>
  <c r="E4" i="2"/>
</calcChain>
</file>

<file path=xl/sharedStrings.xml><?xml version="1.0" encoding="utf-8"?>
<sst xmlns="http://schemas.openxmlformats.org/spreadsheetml/2006/main" count="100" uniqueCount="63">
  <si>
    <t>Zirconia</t>
  </si>
  <si>
    <t>Cercon</t>
  </si>
  <si>
    <t>DDBIO</t>
  </si>
  <si>
    <t>Cercon HT</t>
  </si>
  <si>
    <t>HT smile</t>
  </si>
  <si>
    <t>Orodent White Matt</t>
  </si>
  <si>
    <t>Lava 3M Esthetic</t>
  </si>
  <si>
    <t>Orodent Hight Translucent</t>
  </si>
  <si>
    <t>Cercon HT Multilaver</t>
  </si>
  <si>
    <t>Orodent Bleach</t>
  </si>
  <si>
    <t>Veneer Emax</t>
  </si>
  <si>
    <t>Veneer Lisi có mài</t>
  </si>
  <si>
    <t>Veneer Emax có mài</t>
  </si>
  <si>
    <t>Dòng sứ</t>
  </si>
  <si>
    <t>xuất xứ</t>
  </si>
  <si>
    <t>thẻ bảo hành 
chính hãng toàn cầu hay Việt Nam</t>
  </si>
  <si>
    <t>giá lab</t>
  </si>
  <si>
    <t xml:space="preserve">tên đầy đủ </t>
  </si>
  <si>
    <t>Ý</t>
  </si>
  <si>
    <t>Mỹ</t>
  </si>
  <si>
    <t>Đức</t>
  </si>
  <si>
    <t>HT smile (Original Certificate)</t>
  </si>
  <si>
    <t>Iuitial Lisi Press</t>
  </si>
  <si>
    <t>Zirconia Ceramics</t>
  </si>
  <si>
    <t>Emax Press</t>
  </si>
  <si>
    <t>thẻ Bảo hành chính hãng  GC</t>
  </si>
  <si>
    <t xml:space="preserve">thẻ Bảo hành chính hãng  </t>
  </si>
  <si>
    <t>BỈ</t>
  </si>
  <si>
    <t>Thẻ bảo hành lab</t>
  </si>
  <si>
    <t>Đức/Việt Đăng</t>
  </si>
  <si>
    <t>thẻ Bảo hành chính hãng Vnam</t>
  </si>
  <si>
    <t>STT</t>
  </si>
  <si>
    <t>TRỤ LẺ</t>
  </si>
  <si>
    <t>XUẤT XỨ</t>
  </si>
  <si>
    <t>TGIP giá chưa atb</t>
  </si>
  <si>
    <t>giá gốc (lẻ)</t>
  </si>
  <si>
    <t>GIÁ SỈ</t>
  </si>
  <si>
    <t>Implant Biotem</t>
  </si>
  <si>
    <t>Hàn Quốc</t>
  </si>
  <si>
    <t>Implant Dentium</t>
  </si>
  <si>
    <t>Implant Dio</t>
  </si>
  <si>
    <t>Implant Osstem</t>
  </si>
  <si>
    <t>Implant Hiossen</t>
  </si>
  <si>
    <t>Implant Anthogyr (iml mới)</t>
  </si>
  <si>
    <t>Pháp</t>
  </si>
  <si>
    <t>Implant Megagen (check giá)</t>
  </si>
  <si>
    <t>Implant Tekka Global D</t>
  </si>
  <si>
    <t>Implant SIC</t>
  </si>
  <si>
    <t>Thuỵ Sĩ</t>
  </si>
  <si>
    <t>Implant Neodent</t>
  </si>
  <si>
    <t>Thụy Sỉ</t>
  </si>
  <si>
    <t>Implant Kontact</t>
  </si>
  <si>
    <t>Implant Nobel biocare active</t>
  </si>
  <si>
    <t>Implant SLA (Straumann)</t>
  </si>
  <si>
    <t>Implant Nobel TiUltra</t>
  </si>
  <si>
    <t>Implant SL Active (Straumann)</t>
  </si>
  <si>
    <t>Implant chân bướm</t>
  </si>
  <si>
    <t>Italia</t>
  </si>
  <si>
    <t>Implant Zygoma</t>
  </si>
  <si>
    <t>Giá bán</t>
  </si>
  <si>
    <t>Zolid</t>
  </si>
  <si>
    <t>GIÁ BAO GỒM ABUTMENT</t>
  </si>
  <si>
    <t>Implant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</si>
</sst>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/>
    </xf>
    <xf numFmtId="41" fontId="1" fillId="2" borderId="1" xfId="1" applyFont="1" applyFill="1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/>
    </xf>
    <xf numFmtId="41" fontId="1" fillId="0" borderId="1" xfId="1" applyFont="1" applyBorder="1" applyAlignment="1">
      <alignment horizontal="center" vertical="center" wrapText="1"/>
    </xf>
    <xf numFmtId="41" fontId="1" fillId="0" borderId="0" xfId="1" applyFont="1" applyAlignment="1">
      <alignment horizontal="center" vertical="center"/>
    </xf>
    <xf numFmtId="41" fontId="1" fillId="0" borderId="0" xfId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FF13-78BB-E44C-874C-2D05C6CC09F6}">
  <dimension ref="A2:G15"/>
  <sheetViews>
    <sheetView tabSelected="1" workbookViewId="0">
      <selection activeCell="K5" sqref="K5"/>
    </sheetView>
  </sheetViews>
  <sheetFormatPr baseColWidth="10" defaultColWidth="10.83203125" defaultRowHeight="52" customHeight="1" x14ac:dyDescent="0.2"/>
  <cols>
    <col min="1" max="1" width="10.83203125" style="3"/>
    <col min="2" max="2" width="29.1640625" style="3" customWidth="1"/>
    <col min="3" max="3" width="16.5" style="3" hidden="1" customWidth="1"/>
    <col min="4" max="4" width="25.5" style="6" hidden="1" customWidth="1"/>
    <col min="5" max="5" width="21" style="11" customWidth="1"/>
    <col min="6" max="6" width="5.33203125" style="12" hidden="1" customWidth="1"/>
    <col min="7" max="7" width="21.6640625" style="11" customWidth="1"/>
    <col min="8" max="16384" width="10.83203125" style="3"/>
  </cols>
  <sheetData>
    <row r="2" spans="1:7" ht="52" customHeight="1" x14ac:dyDescent="0.2">
      <c r="A2" s="1"/>
      <c r="B2" s="1" t="s">
        <v>13</v>
      </c>
      <c r="C2" s="1" t="s">
        <v>14</v>
      </c>
      <c r="D2" s="2" t="s">
        <v>15</v>
      </c>
      <c r="E2" s="7" t="s">
        <v>16</v>
      </c>
      <c r="F2" s="8" t="s">
        <v>17</v>
      </c>
      <c r="G2" s="7" t="s">
        <v>59</v>
      </c>
    </row>
    <row r="3" spans="1:7" ht="52" customHeight="1" x14ac:dyDescent="0.2">
      <c r="A3" s="4">
        <v>1</v>
      </c>
      <c r="B3" s="4" t="s">
        <v>0</v>
      </c>
      <c r="C3" s="5"/>
      <c r="D3" s="5" t="s">
        <v>28</v>
      </c>
      <c r="E3" s="9">
        <v>500000</v>
      </c>
      <c r="F3" s="10" t="s">
        <v>23</v>
      </c>
      <c r="G3" s="9">
        <v>1500000</v>
      </c>
    </row>
    <row r="4" spans="1:7" ht="52" customHeight="1" x14ac:dyDescent="0.2">
      <c r="A4" s="4">
        <v>2</v>
      </c>
      <c r="B4" s="4" t="s">
        <v>1</v>
      </c>
      <c r="C4" s="4" t="s">
        <v>20</v>
      </c>
      <c r="D4" s="5" t="s">
        <v>26</v>
      </c>
      <c r="E4" s="9">
        <v>1000000</v>
      </c>
      <c r="F4" s="9" t="s">
        <v>1</v>
      </c>
      <c r="G4" s="9">
        <v>2520000</v>
      </c>
    </row>
    <row r="5" spans="1:7" ht="52" customHeight="1" x14ac:dyDescent="0.2">
      <c r="A5" s="4">
        <v>3</v>
      </c>
      <c r="B5" s="4" t="s">
        <v>2</v>
      </c>
      <c r="C5" s="4" t="s">
        <v>29</v>
      </c>
      <c r="D5" s="5" t="s">
        <v>30</v>
      </c>
      <c r="E5" s="9">
        <v>700000</v>
      </c>
      <c r="F5" s="9" t="s">
        <v>2</v>
      </c>
      <c r="G5" s="9">
        <v>2100000</v>
      </c>
    </row>
    <row r="6" spans="1:7" ht="52" customHeight="1" x14ac:dyDescent="0.2">
      <c r="A6" s="4">
        <v>4</v>
      </c>
      <c r="B6" s="4" t="s">
        <v>3</v>
      </c>
      <c r="C6" s="4" t="s">
        <v>20</v>
      </c>
      <c r="D6" s="5" t="s">
        <v>26</v>
      </c>
      <c r="E6" s="9">
        <v>1000000</v>
      </c>
      <c r="F6" s="9" t="s">
        <v>3</v>
      </c>
      <c r="G6" s="9">
        <v>3300000</v>
      </c>
    </row>
    <row r="7" spans="1:7" ht="52" customHeight="1" x14ac:dyDescent="0.2">
      <c r="A7" s="4">
        <v>5</v>
      </c>
      <c r="B7" s="4" t="s">
        <v>4</v>
      </c>
      <c r="C7" s="4" t="s">
        <v>20</v>
      </c>
      <c r="D7" s="5" t="s">
        <v>26</v>
      </c>
      <c r="E7" s="9">
        <v>900000</v>
      </c>
      <c r="F7" s="10" t="s">
        <v>21</v>
      </c>
      <c r="G7" s="9">
        <v>4125000</v>
      </c>
    </row>
    <row r="8" spans="1:7" ht="52" customHeight="1" x14ac:dyDescent="0.2">
      <c r="A8" s="4">
        <v>6</v>
      </c>
      <c r="B8" s="4" t="s">
        <v>60</v>
      </c>
      <c r="C8" s="4" t="s">
        <v>18</v>
      </c>
      <c r="D8" s="5" t="s">
        <v>26</v>
      </c>
      <c r="E8" s="9">
        <v>900000</v>
      </c>
      <c r="F8" s="10" t="s">
        <v>5</v>
      </c>
      <c r="G8" s="9">
        <v>4675000</v>
      </c>
    </row>
    <row r="9" spans="1:7" ht="52" customHeight="1" x14ac:dyDescent="0.2">
      <c r="A9" s="4">
        <v>7</v>
      </c>
      <c r="B9" s="4" t="s">
        <v>6</v>
      </c>
      <c r="C9" s="4" t="s">
        <v>19</v>
      </c>
      <c r="D9" s="5" t="s">
        <v>26</v>
      </c>
      <c r="E9" s="9">
        <v>1500000</v>
      </c>
      <c r="F9" s="10" t="s">
        <v>6</v>
      </c>
      <c r="G9" s="9">
        <v>6325000</v>
      </c>
    </row>
    <row r="10" spans="1:7" ht="52" customHeight="1" x14ac:dyDescent="0.2">
      <c r="A10" s="4">
        <v>8</v>
      </c>
      <c r="B10" s="4" t="s">
        <v>7</v>
      </c>
      <c r="C10" s="4" t="s">
        <v>18</v>
      </c>
      <c r="D10" s="5" t="s">
        <v>26</v>
      </c>
      <c r="E10" s="9">
        <v>2000000</v>
      </c>
      <c r="F10" s="10" t="s">
        <v>7</v>
      </c>
      <c r="G10" s="9">
        <v>7200000</v>
      </c>
    </row>
    <row r="11" spans="1:7" ht="52" customHeight="1" x14ac:dyDescent="0.2">
      <c r="A11" s="4">
        <v>9</v>
      </c>
      <c r="B11" s="4" t="s">
        <v>8</v>
      </c>
      <c r="C11" s="4" t="s">
        <v>20</v>
      </c>
      <c r="D11" s="5" t="s">
        <v>26</v>
      </c>
      <c r="E11" s="9">
        <v>1200000</v>
      </c>
      <c r="F11" s="10" t="s">
        <v>8</v>
      </c>
      <c r="G11" s="9">
        <v>4950000</v>
      </c>
    </row>
    <row r="12" spans="1:7" ht="52" customHeight="1" x14ac:dyDescent="0.2">
      <c r="A12" s="4">
        <v>10</v>
      </c>
      <c r="B12" s="4" t="s">
        <v>9</v>
      </c>
      <c r="C12" s="4" t="s">
        <v>18</v>
      </c>
      <c r="D12" s="5" t="s">
        <v>26</v>
      </c>
      <c r="E12" s="9">
        <v>2200000</v>
      </c>
      <c r="F12" s="10" t="s">
        <v>9</v>
      </c>
      <c r="G12" s="9">
        <v>9520000</v>
      </c>
    </row>
    <row r="13" spans="1:7" ht="52" customHeight="1" x14ac:dyDescent="0.2">
      <c r="A13" s="4">
        <v>11</v>
      </c>
      <c r="B13" s="4" t="s">
        <v>10</v>
      </c>
      <c r="C13" s="4" t="s">
        <v>20</v>
      </c>
      <c r="D13" s="5" t="s">
        <v>26</v>
      </c>
      <c r="E13" s="9">
        <v>1000000</v>
      </c>
      <c r="F13" s="10" t="s">
        <v>24</v>
      </c>
      <c r="G13" s="9">
        <v>5600000</v>
      </c>
    </row>
    <row r="14" spans="1:7" ht="52" customHeight="1" x14ac:dyDescent="0.2">
      <c r="A14" s="4">
        <v>12</v>
      </c>
      <c r="B14" s="4" t="s">
        <v>11</v>
      </c>
      <c r="C14" s="4" t="s">
        <v>27</v>
      </c>
      <c r="D14" s="5" t="s">
        <v>25</v>
      </c>
      <c r="E14" s="9">
        <v>1200000</v>
      </c>
      <c r="F14" s="10" t="s">
        <v>22</v>
      </c>
      <c r="G14" s="9">
        <v>7000000</v>
      </c>
    </row>
    <row r="15" spans="1:7" ht="52" customHeight="1" x14ac:dyDescent="0.2">
      <c r="A15" s="4">
        <v>13</v>
      </c>
      <c r="B15" s="4" t="s">
        <v>12</v>
      </c>
      <c r="C15" s="4" t="s">
        <v>20</v>
      </c>
      <c r="D15" s="5" t="s">
        <v>26</v>
      </c>
      <c r="E15" s="9">
        <v>1000000</v>
      </c>
      <c r="F15" s="10" t="s">
        <v>24</v>
      </c>
      <c r="G15" s="9">
        <v>10500000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6D21-CEFF-3648-8552-0F896C6BD849}">
  <dimension ref="A3:G22"/>
  <sheetViews>
    <sheetView workbookViewId="0">
      <selection activeCell="D25" sqref="D25"/>
    </sheetView>
  </sheetViews>
  <sheetFormatPr baseColWidth="10" defaultRowHeight="16" x14ac:dyDescent="0.2"/>
  <cols>
    <col min="1" max="1" width="10.83203125" style="14"/>
    <col min="2" max="2" width="32.1640625" style="14" customWidth="1"/>
    <col min="3" max="5" width="21" style="14" customWidth="1"/>
    <col min="6" max="6" width="18.6640625" style="14" customWidth="1"/>
    <col min="7" max="7" width="19.5" style="14" hidden="1" customWidth="1"/>
    <col min="8" max="16384" width="10.83203125" style="14"/>
  </cols>
  <sheetData>
    <row r="3" spans="1:7" ht="32" customHeight="1" x14ac:dyDescent="0.2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61</v>
      </c>
      <c r="F3" s="13" t="s">
        <v>35</v>
      </c>
      <c r="G3" s="14" t="s">
        <v>36</v>
      </c>
    </row>
    <row r="4" spans="1:7" x14ac:dyDescent="0.2">
      <c r="A4" s="15">
        <v>1</v>
      </c>
      <c r="B4" s="15" t="s">
        <v>37</v>
      </c>
      <c r="C4" s="15" t="s">
        <v>38</v>
      </c>
      <c r="D4" s="16">
        <v>3900000</v>
      </c>
      <c r="E4" s="16">
        <f>D4+4000000</f>
        <v>7900000</v>
      </c>
      <c r="F4" s="16">
        <v>1040000</v>
      </c>
      <c r="G4" s="17">
        <v>1040000</v>
      </c>
    </row>
    <row r="5" spans="1:7" x14ac:dyDescent="0.2">
      <c r="A5" s="15">
        <v>2</v>
      </c>
      <c r="B5" s="15" t="s">
        <v>39</v>
      </c>
      <c r="C5" s="15" t="s">
        <v>38</v>
      </c>
      <c r="D5" s="16">
        <v>6900000</v>
      </c>
      <c r="E5" s="16">
        <f t="shared" ref="E5:E22" si="0">D5+4000000</f>
        <v>10900000</v>
      </c>
      <c r="F5" s="16">
        <v>2600000</v>
      </c>
      <c r="G5" s="17">
        <v>2050000</v>
      </c>
    </row>
    <row r="6" spans="1:7" x14ac:dyDescent="0.2">
      <c r="A6" s="15">
        <v>3</v>
      </c>
      <c r="B6" s="15" t="s">
        <v>40</v>
      </c>
      <c r="C6" s="15" t="s">
        <v>38</v>
      </c>
      <c r="D6" s="16">
        <v>7800000</v>
      </c>
      <c r="E6" s="16">
        <f t="shared" si="0"/>
        <v>11800000</v>
      </c>
      <c r="F6" s="16">
        <v>4125000</v>
      </c>
      <c r="G6" s="17">
        <v>2500000</v>
      </c>
    </row>
    <row r="7" spans="1:7" x14ac:dyDescent="0.2">
      <c r="A7" s="15">
        <v>4</v>
      </c>
      <c r="B7" s="15" t="s">
        <v>41</v>
      </c>
      <c r="C7" s="15" t="s">
        <v>38</v>
      </c>
      <c r="D7" s="16">
        <v>9900000</v>
      </c>
      <c r="E7" s="16">
        <f>D7+7000000</f>
        <v>16900000</v>
      </c>
      <c r="F7" s="16">
        <v>3200000</v>
      </c>
      <c r="G7" s="17">
        <v>2365000</v>
      </c>
    </row>
    <row r="8" spans="1:7" x14ac:dyDescent="0.2">
      <c r="A8" s="15">
        <v>5</v>
      </c>
      <c r="B8" s="15" t="s">
        <v>42</v>
      </c>
      <c r="C8" s="15"/>
      <c r="D8" s="16">
        <v>11900000</v>
      </c>
      <c r="E8" s="16">
        <f t="shared" ref="E8:E22" si="1">D8+7000000</f>
        <v>18900000</v>
      </c>
      <c r="F8" s="15"/>
    </row>
    <row r="9" spans="1:7" x14ac:dyDescent="0.2">
      <c r="A9" s="15">
        <v>6</v>
      </c>
      <c r="B9" s="15" t="s">
        <v>39</v>
      </c>
      <c r="C9" s="15" t="s">
        <v>19</v>
      </c>
      <c r="D9" s="16">
        <v>12900000</v>
      </c>
      <c r="E9" s="16">
        <f t="shared" si="1"/>
        <v>19900000</v>
      </c>
      <c r="F9" s="16">
        <v>3500000</v>
      </c>
      <c r="G9" s="17">
        <v>2550000</v>
      </c>
    </row>
    <row r="10" spans="1:7" x14ac:dyDescent="0.2">
      <c r="A10" s="15">
        <v>7</v>
      </c>
      <c r="B10" s="15" t="s">
        <v>43</v>
      </c>
      <c r="C10" s="15" t="s">
        <v>44</v>
      </c>
      <c r="D10" s="16">
        <v>12000000</v>
      </c>
      <c r="E10" s="16">
        <f t="shared" si="1"/>
        <v>19000000</v>
      </c>
      <c r="F10" s="16">
        <v>6170000</v>
      </c>
      <c r="G10" s="17">
        <v>4270000</v>
      </c>
    </row>
    <row r="11" spans="1:7" x14ac:dyDescent="0.2">
      <c r="A11" s="15">
        <v>8</v>
      </c>
      <c r="B11" s="15" t="s">
        <v>45</v>
      </c>
      <c r="C11" s="15" t="s">
        <v>38</v>
      </c>
      <c r="D11" s="16">
        <v>14900000</v>
      </c>
      <c r="E11" s="16">
        <f t="shared" si="1"/>
        <v>21900000</v>
      </c>
      <c r="F11" s="15"/>
    </row>
    <row r="12" spans="1:7" x14ac:dyDescent="0.2">
      <c r="A12" s="15">
        <v>9</v>
      </c>
      <c r="B12" s="15" t="s">
        <v>46</v>
      </c>
      <c r="C12" s="15" t="s">
        <v>44</v>
      </c>
      <c r="D12" s="16">
        <v>12000000</v>
      </c>
      <c r="E12" s="16">
        <f t="shared" si="1"/>
        <v>19000000</v>
      </c>
      <c r="F12" s="16">
        <v>7990000</v>
      </c>
      <c r="G12" s="17">
        <v>4450000</v>
      </c>
    </row>
    <row r="13" spans="1:7" x14ac:dyDescent="0.2">
      <c r="A13" s="15">
        <v>10</v>
      </c>
      <c r="B13" s="15" t="s">
        <v>62</v>
      </c>
      <c r="C13" s="15"/>
      <c r="D13" s="16">
        <v>17900000</v>
      </c>
      <c r="E13" s="16">
        <f t="shared" si="1"/>
        <v>24900000</v>
      </c>
      <c r="F13" s="16">
        <v>5250000</v>
      </c>
    </row>
    <row r="14" spans="1:7" x14ac:dyDescent="0.2">
      <c r="A14" s="15">
        <v>11</v>
      </c>
      <c r="B14" s="15" t="s">
        <v>47</v>
      </c>
      <c r="C14" s="15" t="s">
        <v>48</v>
      </c>
      <c r="D14" s="16">
        <v>18900000</v>
      </c>
      <c r="E14" s="16">
        <f t="shared" si="1"/>
        <v>25900000</v>
      </c>
      <c r="F14" s="16">
        <v>8000000</v>
      </c>
    </row>
    <row r="15" spans="1:7" x14ac:dyDescent="0.2">
      <c r="A15" s="15">
        <v>12</v>
      </c>
      <c r="B15" s="15" t="s">
        <v>49</v>
      </c>
      <c r="C15" s="15" t="s">
        <v>50</v>
      </c>
      <c r="D15" s="16">
        <v>20000000</v>
      </c>
      <c r="E15" s="16">
        <f t="shared" si="1"/>
        <v>27000000</v>
      </c>
      <c r="F15" s="16">
        <v>4625000</v>
      </c>
      <c r="G15" s="17">
        <v>4250000</v>
      </c>
    </row>
    <row r="16" spans="1:7" x14ac:dyDescent="0.2">
      <c r="A16" s="15">
        <v>13</v>
      </c>
      <c r="B16" s="15" t="s">
        <v>51</v>
      </c>
      <c r="C16" s="15" t="s">
        <v>44</v>
      </c>
      <c r="D16" s="16">
        <v>25000000</v>
      </c>
      <c r="E16" s="16">
        <f t="shared" si="1"/>
        <v>32000000</v>
      </c>
      <c r="F16" s="16">
        <v>6560000</v>
      </c>
      <c r="G16" s="17">
        <v>4700000</v>
      </c>
    </row>
    <row r="17" spans="1:7" x14ac:dyDescent="0.2">
      <c r="A17" s="15">
        <v>14</v>
      </c>
      <c r="B17" s="15" t="s">
        <v>52</v>
      </c>
      <c r="C17" s="15" t="s">
        <v>19</v>
      </c>
      <c r="D17" s="16">
        <v>21000000</v>
      </c>
      <c r="E17" s="16">
        <f t="shared" si="1"/>
        <v>28000000</v>
      </c>
      <c r="F17" s="16">
        <v>13020000</v>
      </c>
      <c r="G17" s="17">
        <v>9300000</v>
      </c>
    </row>
    <row r="18" spans="1:7" x14ac:dyDescent="0.2">
      <c r="A18" s="15">
        <v>15</v>
      </c>
      <c r="B18" s="15" t="s">
        <v>53</v>
      </c>
      <c r="C18" s="15" t="s">
        <v>50</v>
      </c>
      <c r="D18" s="16">
        <v>21000000</v>
      </c>
      <c r="E18" s="16">
        <f t="shared" si="1"/>
        <v>28000000</v>
      </c>
      <c r="F18" s="16">
        <v>12000000</v>
      </c>
      <c r="G18" s="17">
        <v>11163000</v>
      </c>
    </row>
    <row r="19" spans="1:7" x14ac:dyDescent="0.2">
      <c r="A19" s="15">
        <v>16</v>
      </c>
      <c r="B19" s="15" t="s">
        <v>54</v>
      </c>
      <c r="C19" s="15" t="s">
        <v>19</v>
      </c>
      <c r="D19" s="16">
        <v>29900000</v>
      </c>
      <c r="E19" s="16">
        <f t="shared" si="1"/>
        <v>36900000</v>
      </c>
      <c r="F19" s="16">
        <v>14460000</v>
      </c>
      <c r="G19" s="17">
        <v>10330000</v>
      </c>
    </row>
    <row r="20" spans="1:7" x14ac:dyDescent="0.2">
      <c r="A20" s="15">
        <v>17</v>
      </c>
      <c r="B20" s="15" t="s">
        <v>55</v>
      </c>
      <c r="C20" s="15" t="s">
        <v>50</v>
      </c>
      <c r="D20" s="16">
        <v>29900000</v>
      </c>
      <c r="E20" s="16">
        <f t="shared" si="1"/>
        <v>36900000</v>
      </c>
      <c r="F20" s="16">
        <v>14000000</v>
      </c>
      <c r="G20" s="17">
        <v>13160000</v>
      </c>
    </row>
    <row r="21" spans="1:7" x14ac:dyDescent="0.2">
      <c r="A21" s="15">
        <v>18</v>
      </c>
      <c r="B21" s="15" t="s">
        <v>56</v>
      </c>
      <c r="C21" s="15" t="s">
        <v>57</v>
      </c>
      <c r="D21" s="16">
        <v>35000000</v>
      </c>
      <c r="E21" s="16">
        <f t="shared" si="1"/>
        <v>42000000</v>
      </c>
      <c r="F21" s="15">
        <v>7900000</v>
      </c>
    </row>
    <row r="22" spans="1:7" x14ac:dyDescent="0.2">
      <c r="A22" s="15">
        <v>19</v>
      </c>
      <c r="B22" s="15" t="s">
        <v>58</v>
      </c>
      <c r="C22" s="15" t="s">
        <v>57</v>
      </c>
      <c r="D22" s="16">
        <v>45000000</v>
      </c>
      <c r="E22" s="16">
        <f t="shared" si="1"/>
        <v>52000000</v>
      </c>
      <c r="F22" s="15">
        <v>14000000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SỨ</vt:lpstr>
      <vt:lpstr>IMPLANT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2024-06-15T03:11:52Z</dcterms:created>
  <dcterms:modified xsi:type="dcterms:W3CDTF">2024-11-17T04:51:15Z</dcterms:modified>
</cp:coreProperties>
</file>