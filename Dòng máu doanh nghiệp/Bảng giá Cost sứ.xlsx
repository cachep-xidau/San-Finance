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hienn\OneDrive\Máy tính\Bảng giá 12062025\"/>
    </mc:Choice>
  </mc:AlternateContent>
  <xr:revisionPtr revIDLastSave="0" documentId="13_ncr:1_{6A2A60D5-9BE4-4DC7-B133-B79DD7899637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Combo 20" sheetId="4" r:id="rId1"/>
    <sheet name="Combo 16" sheetId="1" r:id="rId2"/>
    <sheet name="10 răng" sheetId="3" r:id="rId3"/>
    <sheet name="8 răn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3" l="1"/>
  <c r="S10" i="3"/>
  <c r="S11" i="3"/>
  <c r="S12" i="3"/>
  <c r="S13" i="3"/>
  <c r="S14" i="3"/>
  <c r="S15" i="3"/>
  <c r="S16" i="3"/>
  <c r="S17" i="3"/>
  <c r="S18" i="3"/>
  <c r="S19" i="3"/>
  <c r="S20" i="3"/>
  <c r="S21" i="3"/>
  <c r="S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8" i="3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8" i="1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3" i="2"/>
  <c r="Q24" i="2"/>
  <c r="Q25" i="2"/>
  <c r="Q8" i="2"/>
  <c r="P16" i="4"/>
  <c r="R16" i="4" s="1"/>
  <c r="P17" i="4"/>
  <c r="R17" i="4" s="1"/>
  <c r="P19" i="4"/>
  <c r="R19" i="4" s="1"/>
  <c r="O9" i="4"/>
  <c r="P9" i="4" s="1"/>
  <c r="R9" i="4" s="1"/>
  <c r="O10" i="4"/>
  <c r="P10" i="4" s="1"/>
  <c r="R10" i="4" s="1"/>
  <c r="O11" i="4"/>
  <c r="P11" i="4" s="1"/>
  <c r="R11" i="4" s="1"/>
  <c r="O12" i="4"/>
  <c r="P12" i="4" s="1"/>
  <c r="R12" i="4" s="1"/>
  <c r="O13" i="4"/>
  <c r="P13" i="4" s="1"/>
  <c r="R13" i="4" s="1"/>
  <c r="O14" i="4"/>
  <c r="P14" i="4" s="1"/>
  <c r="R14" i="4" s="1"/>
  <c r="O15" i="4"/>
  <c r="P15" i="4" s="1"/>
  <c r="R15" i="4" s="1"/>
  <c r="O16" i="4"/>
  <c r="O17" i="4"/>
  <c r="O18" i="4"/>
  <c r="P18" i="4" s="1"/>
  <c r="R18" i="4" s="1"/>
  <c r="O19" i="4"/>
  <c r="O20" i="4"/>
  <c r="P20" i="4" s="1"/>
  <c r="R20" i="4" s="1"/>
  <c r="O21" i="4"/>
  <c r="P21" i="4" s="1"/>
  <c r="R21" i="4" s="1"/>
  <c r="O23" i="4"/>
  <c r="P23" i="4" s="1"/>
  <c r="O24" i="4"/>
  <c r="P24" i="4" s="1"/>
  <c r="O25" i="4"/>
  <c r="P25" i="4" s="1"/>
  <c r="O8" i="4"/>
  <c r="P8" i="4" s="1"/>
  <c r="R8" i="4" s="1"/>
  <c r="O23" i="1"/>
  <c r="P23" i="1" s="1"/>
  <c r="O24" i="1"/>
  <c r="P24" i="1" s="1"/>
  <c r="O25" i="1"/>
  <c r="P25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8" i="1"/>
  <c r="P8" i="1" s="1"/>
  <c r="O23" i="3"/>
  <c r="P23" i="3" s="1"/>
  <c r="O24" i="3"/>
  <c r="P24" i="3" s="1"/>
  <c r="O25" i="3"/>
  <c r="P25" i="3" s="1"/>
  <c r="P15" i="3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8" i="3"/>
  <c r="P8" i="3" s="1"/>
  <c r="O23" i="2"/>
  <c r="P23" i="2" s="1"/>
  <c r="O24" i="2"/>
  <c r="P24" i="2" s="1"/>
  <c r="O25" i="2"/>
  <c r="P25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8" i="2"/>
  <c r="P8" i="2" s="1"/>
  <c r="H22" i="4" l="1"/>
  <c r="D21" i="1"/>
  <c r="G21" i="1" s="1"/>
  <c r="H21" i="1" s="1"/>
  <c r="D25" i="4"/>
  <c r="G25" i="4" s="1"/>
  <c r="H25" i="4" s="1"/>
  <c r="D24" i="4"/>
  <c r="G24" i="4" s="1"/>
  <c r="H24" i="4" s="1"/>
  <c r="J23" i="4"/>
  <c r="D23" i="4"/>
  <c r="G23" i="4" s="1"/>
  <c r="H23" i="4" s="1"/>
  <c r="D21" i="4"/>
  <c r="G21" i="4" s="1"/>
  <c r="H21" i="4" s="1"/>
  <c r="D20" i="4"/>
  <c r="G20" i="4" s="1"/>
  <c r="H20" i="4" s="1"/>
  <c r="D19" i="4"/>
  <c r="G19" i="4" s="1"/>
  <c r="H19" i="4" s="1"/>
  <c r="D18" i="4"/>
  <c r="G18" i="4" s="1"/>
  <c r="H18" i="4" s="1"/>
  <c r="D17" i="4"/>
  <c r="G17" i="4" s="1"/>
  <c r="H17" i="4" s="1"/>
  <c r="D16" i="4"/>
  <c r="G16" i="4" s="1"/>
  <c r="H16" i="4" s="1"/>
  <c r="C15" i="4"/>
  <c r="D15" i="4" s="1"/>
  <c r="D14" i="4"/>
  <c r="G14" i="4" s="1"/>
  <c r="H14" i="4" s="1"/>
  <c r="D13" i="4"/>
  <c r="G13" i="4" s="1"/>
  <c r="H13" i="4" s="1"/>
  <c r="D12" i="4"/>
  <c r="G12" i="4" s="1"/>
  <c r="H12" i="4" s="1"/>
  <c r="D11" i="4"/>
  <c r="G11" i="4" s="1"/>
  <c r="H11" i="4" s="1"/>
  <c r="D10" i="4"/>
  <c r="G10" i="4" s="1"/>
  <c r="H10" i="4" s="1"/>
  <c r="D9" i="4"/>
  <c r="G9" i="4" s="1"/>
  <c r="H9" i="4" s="1"/>
  <c r="J8" i="4"/>
  <c r="J9" i="4" s="1"/>
  <c r="J10" i="4" s="1"/>
  <c r="D8" i="4"/>
  <c r="G8" i="4" s="1"/>
  <c r="H8" i="4" s="1"/>
  <c r="E26" i="1"/>
  <c r="D8" i="2"/>
  <c r="G8" i="2" s="1"/>
  <c r="H8" i="2" s="1"/>
  <c r="D8" i="3"/>
  <c r="G8" i="3" s="1"/>
  <c r="H8" i="3" s="1"/>
  <c r="D9" i="1"/>
  <c r="G9" i="1" s="1"/>
  <c r="H9" i="1" s="1"/>
  <c r="D10" i="1"/>
  <c r="G10" i="1" s="1"/>
  <c r="H10" i="1" s="1"/>
  <c r="D11" i="1"/>
  <c r="G11" i="1" s="1"/>
  <c r="H11" i="1" s="1"/>
  <c r="I11" i="1" s="1"/>
  <c r="D12" i="1"/>
  <c r="G12" i="1" s="1"/>
  <c r="H12" i="1" s="1"/>
  <c r="D13" i="1"/>
  <c r="D14" i="1"/>
  <c r="G14" i="1" s="1"/>
  <c r="H14" i="1" s="1"/>
  <c r="D16" i="1"/>
  <c r="G16" i="1" s="1"/>
  <c r="H16" i="1" s="1"/>
  <c r="D17" i="1"/>
  <c r="G17" i="1" s="1"/>
  <c r="H17" i="1" s="1"/>
  <c r="D18" i="1"/>
  <c r="G18" i="1" s="1"/>
  <c r="H18" i="1" s="1"/>
  <c r="D19" i="1"/>
  <c r="G19" i="1" s="1"/>
  <c r="H19" i="1" s="1"/>
  <c r="D20" i="1"/>
  <c r="G20" i="1" s="1"/>
  <c r="H20" i="1" s="1"/>
  <c r="D22" i="1"/>
  <c r="G22" i="1" s="1"/>
  <c r="H22" i="1" s="1"/>
  <c r="I22" i="1" s="1"/>
  <c r="D23" i="1"/>
  <c r="D24" i="1"/>
  <c r="D25" i="1"/>
  <c r="D8" i="1"/>
  <c r="G22" i="3"/>
  <c r="H22" i="3" s="1"/>
  <c r="I22" i="3" s="1"/>
  <c r="E22" i="3"/>
  <c r="D9" i="3"/>
  <c r="D10" i="3"/>
  <c r="D11" i="3"/>
  <c r="G11" i="3" s="1"/>
  <c r="H11" i="3" s="1"/>
  <c r="I11" i="3" s="1"/>
  <c r="D12" i="3"/>
  <c r="G12" i="3" s="1"/>
  <c r="H12" i="3" s="1"/>
  <c r="D13" i="3"/>
  <c r="G13" i="3" s="1"/>
  <c r="H13" i="3" s="1"/>
  <c r="D14" i="3"/>
  <c r="G14" i="3" s="1"/>
  <c r="H14" i="3" s="1"/>
  <c r="D16" i="3"/>
  <c r="G16" i="3" s="1"/>
  <c r="H16" i="3" s="1"/>
  <c r="D17" i="3"/>
  <c r="G17" i="3" s="1"/>
  <c r="H17" i="3" s="1"/>
  <c r="D18" i="3"/>
  <c r="G18" i="3" s="1"/>
  <c r="H18" i="3" s="1"/>
  <c r="D19" i="3"/>
  <c r="G19" i="3" s="1"/>
  <c r="H19" i="3" s="1"/>
  <c r="D20" i="3"/>
  <c r="G20" i="3" s="1"/>
  <c r="H20" i="3" s="1"/>
  <c r="D21" i="3"/>
  <c r="G21" i="3" s="1"/>
  <c r="H21" i="3" s="1"/>
  <c r="D23" i="3"/>
  <c r="G23" i="3" s="1"/>
  <c r="H23" i="3" s="1"/>
  <c r="D24" i="3"/>
  <c r="G24" i="3" s="1"/>
  <c r="H24" i="3" s="1"/>
  <c r="D25" i="3"/>
  <c r="G25" i="3" s="1"/>
  <c r="H25" i="3" s="1"/>
  <c r="D23" i="2"/>
  <c r="G23" i="2" s="1"/>
  <c r="H23" i="2" s="1"/>
  <c r="D24" i="2"/>
  <c r="G24" i="2" s="1"/>
  <c r="H24" i="2" s="1"/>
  <c r="D25" i="2"/>
  <c r="G25" i="2" s="1"/>
  <c r="H25" i="2" s="1"/>
  <c r="D9" i="2"/>
  <c r="G9" i="2" s="1"/>
  <c r="H9" i="2" s="1"/>
  <c r="D10" i="2"/>
  <c r="G10" i="2" s="1"/>
  <c r="H10" i="2" s="1"/>
  <c r="D11" i="2"/>
  <c r="E11" i="2" s="1"/>
  <c r="D12" i="2"/>
  <c r="G12" i="2" s="1"/>
  <c r="H12" i="2" s="1"/>
  <c r="D13" i="2"/>
  <c r="G13" i="2" s="1"/>
  <c r="H13" i="2" s="1"/>
  <c r="D14" i="2"/>
  <c r="G14" i="2" s="1"/>
  <c r="H14" i="2" s="1"/>
  <c r="D16" i="2"/>
  <c r="G16" i="2" s="1"/>
  <c r="H16" i="2" s="1"/>
  <c r="D17" i="2"/>
  <c r="G17" i="2" s="1"/>
  <c r="H17" i="2" s="1"/>
  <c r="D18" i="2"/>
  <c r="G18" i="2" s="1"/>
  <c r="H18" i="2" s="1"/>
  <c r="D19" i="2"/>
  <c r="G19" i="2" s="1"/>
  <c r="H19" i="2" s="1"/>
  <c r="D20" i="2"/>
  <c r="G20" i="2" s="1"/>
  <c r="H20" i="2" s="1"/>
  <c r="D21" i="2"/>
  <c r="G21" i="2" s="1"/>
  <c r="H21" i="2" s="1"/>
  <c r="C15" i="2"/>
  <c r="D15" i="2" s="1"/>
  <c r="C15" i="3"/>
  <c r="D15" i="3" s="1"/>
  <c r="C15" i="1"/>
  <c r="D15" i="1" s="1"/>
  <c r="L11" i="3" l="1"/>
  <c r="L11" i="1"/>
  <c r="I23" i="4"/>
  <c r="L23" i="4" s="1"/>
  <c r="I9" i="4"/>
  <c r="L9" i="4" s="1"/>
  <c r="I8" i="4"/>
  <c r="L8" i="4" s="1"/>
  <c r="I10" i="4"/>
  <c r="L10" i="4" s="1"/>
  <c r="G11" i="2"/>
  <c r="H11" i="2" s="1"/>
  <c r="I11" i="2" s="1"/>
  <c r="L11" i="2" s="1"/>
  <c r="J11" i="4"/>
  <c r="G15" i="2"/>
  <c r="H15" i="2" s="1"/>
  <c r="I15" i="2" s="1"/>
  <c r="L15" i="2" s="1"/>
  <c r="E15" i="2"/>
  <c r="G15" i="3"/>
  <c r="H15" i="3" s="1"/>
  <c r="I15" i="3" s="1"/>
  <c r="E15" i="3"/>
  <c r="G10" i="3"/>
  <c r="H10" i="3" s="1"/>
  <c r="G9" i="3"/>
  <c r="H9" i="3" s="1"/>
  <c r="E11" i="3"/>
  <c r="G15" i="1"/>
  <c r="H15" i="1" s="1"/>
  <c r="I15" i="1" s="1"/>
  <c r="E15" i="1"/>
  <c r="G23" i="1"/>
  <c r="H23" i="1" s="1"/>
  <c r="G13" i="1"/>
  <c r="H13" i="1" s="1"/>
  <c r="E11" i="1"/>
  <c r="G8" i="1"/>
  <c r="H8" i="1" s="1"/>
  <c r="G25" i="1"/>
  <c r="H25" i="1" s="1"/>
  <c r="G24" i="1"/>
  <c r="H24" i="1" s="1"/>
  <c r="G15" i="4"/>
  <c r="H15" i="4" s="1"/>
  <c r="J25" i="4"/>
  <c r="E25" i="4" s="1"/>
  <c r="E23" i="4"/>
  <c r="E8" i="4"/>
  <c r="E9" i="4"/>
  <c r="J24" i="4"/>
  <c r="E24" i="4" s="1"/>
  <c r="J23" i="2"/>
  <c r="I23" i="2" s="1"/>
  <c r="L23" i="2" s="1"/>
  <c r="J23" i="3"/>
  <c r="E23" i="3" s="1"/>
  <c r="J23" i="1"/>
  <c r="E23" i="1" s="1"/>
  <c r="L15" i="3" l="1"/>
  <c r="L15" i="1"/>
  <c r="I24" i="4"/>
  <c r="L24" i="4" s="1"/>
  <c r="E11" i="4"/>
  <c r="I11" i="4"/>
  <c r="L11" i="4" s="1"/>
  <c r="I25" i="4"/>
  <c r="L25" i="4" s="1"/>
  <c r="I23" i="1"/>
  <c r="I23" i="3"/>
  <c r="E23" i="2"/>
  <c r="J12" i="4"/>
  <c r="I12" i="4" s="1"/>
  <c r="L12" i="4" s="1"/>
  <c r="E10" i="4"/>
  <c r="L23" i="3" l="1"/>
  <c r="S23" i="3"/>
  <c r="L23" i="1"/>
  <c r="S23" i="1"/>
  <c r="J13" i="4"/>
  <c r="I13" i="4" s="1"/>
  <c r="L13" i="4" s="1"/>
  <c r="E12" i="4"/>
  <c r="J8" i="3"/>
  <c r="J8" i="2"/>
  <c r="S13" i="4" l="1"/>
  <c r="E8" i="3"/>
  <c r="I8" i="3"/>
  <c r="E8" i="2"/>
  <c r="I8" i="2"/>
  <c r="L8" i="2" s="1"/>
  <c r="J14" i="4"/>
  <c r="I14" i="4" s="1"/>
  <c r="L14" i="4" s="1"/>
  <c r="E13" i="4"/>
  <c r="J24" i="2"/>
  <c r="J9" i="3"/>
  <c r="I9" i="3" s="1"/>
  <c r="J24" i="3"/>
  <c r="J9" i="2"/>
  <c r="I9" i="2" s="1"/>
  <c r="L9" i="2" s="1"/>
  <c r="J8" i="1"/>
  <c r="L9" i="3" l="1"/>
  <c r="L8" i="3"/>
  <c r="S14" i="4"/>
  <c r="E8" i="1"/>
  <c r="I8" i="1"/>
  <c r="E24" i="3"/>
  <c r="I24" i="3"/>
  <c r="E24" i="2"/>
  <c r="I24" i="2"/>
  <c r="L24" i="2" s="1"/>
  <c r="E9" i="2"/>
  <c r="J15" i="4"/>
  <c r="I15" i="4" s="1"/>
  <c r="L15" i="4" s="1"/>
  <c r="E14" i="4"/>
  <c r="J25" i="3"/>
  <c r="E9" i="3"/>
  <c r="J25" i="2"/>
  <c r="J9" i="1"/>
  <c r="I9" i="1" s="1"/>
  <c r="J24" i="1"/>
  <c r="J10" i="2"/>
  <c r="I10" i="2" s="1"/>
  <c r="L10" i="2" s="1"/>
  <c r="J10" i="3"/>
  <c r="I10" i="3" s="1"/>
  <c r="J10" i="1"/>
  <c r="I10" i="1" s="1"/>
  <c r="L24" i="3" l="1"/>
  <c r="S24" i="3"/>
  <c r="L10" i="3"/>
  <c r="L9" i="1"/>
  <c r="L8" i="1"/>
  <c r="L10" i="1"/>
  <c r="S15" i="4"/>
  <c r="J12" i="1"/>
  <c r="I12" i="1" s="1"/>
  <c r="E24" i="1"/>
  <c r="I24" i="1"/>
  <c r="E25" i="3"/>
  <c r="I25" i="3"/>
  <c r="E25" i="2"/>
  <c r="I25" i="2"/>
  <c r="L25" i="2" s="1"/>
  <c r="E10" i="2"/>
  <c r="J16" i="4"/>
  <c r="I16" i="4" s="1"/>
  <c r="L16" i="4" s="1"/>
  <c r="E15" i="4"/>
  <c r="E10" i="3"/>
  <c r="E10" i="1"/>
  <c r="J25" i="1"/>
  <c r="E9" i="1"/>
  <c r="J12" i="2"/>
  <c r="I12" i="2" s="1"/>
  <c r="L12" i="2" s="1"/>
  <c r="J12" i="3"/>
  <c r="I12" i="3" s="1"/>
  <c r="J13" i="1"/>
  <c r="I13" i="1" s="1"/>
  <c r="L25" i="3" l="1"/>
  <c r="S25" i="3"/>
  <c r="L12" i="3"/>
  <c r="L24" i="1"/>
  <c r="S24" i="1"/>
  <c r="L12" i="1"/>
  <c r="L13" i="1"/>
  <c r="J14" i="1"/>
  <c r="I14" i="1" s="1"/>
  <c r="S16" i="4"/>
  <c r="E12" i="1"/>
  <c r="E25" i="1"/>
  <c r="I25" i="1"/>
  <c r="J13" i="3"/>
  <c r="I13" i="3" s="1"/>
  <c r="E13" i="1"/>
  <c r="E14" i="1"/>
  <c r="E16" i="4"/>
  <c r="J17" i="4"/>
  <c r="I17" i="4" s="1"/>
  <c r="L17" i="4" s="1"/>
  <c r="J13" i="2"/>
  <c r="I13" i="2" s="1"/>
  <c r="L13" i="2" s="1"/>
  <c r="E12" i="2"/>
  <c r="E12" i="3"/>
  <c r="J16" i="1"/>
  <c r="I16" i="1" s="1"/>
  <c r="L13" i="3" l="1"/>
  <c r="J17" i="1"/>
  <c r="I17" i="1" s="1"/>
  <c r="L25" i="1"/>
  <c r="S25" i="1"/>
  <c r="L17" i="1"/>
  <c r="L14" i="1"/>
  <c r="L16" i="1"/>
  <c r="J14" i="3"/>
  <c r="I14" i="3" s="1"/>
  <c r="S17" i="4"/>
  <c r="E13" i="3"/>
  <c r="E13" i="2"/>
  <c r="E14" i="3"/>
  <c r="E17" i="1"/>
  <c r="E16" i="1"/>
  <c r="J18" i="4"/>
  <c r="I18" i="4" s="1"/>
  <c r="L18" i="4" s="1"/>
  <c r="E17" i="4"/>
  <c r="J14" i="2"/>
  <c r="J19" i="1"/>
  <c r="I19" i="1" s="1"/>
  <c r="J18" i="1"/>
  <c r="I18" i="1" s="1"/>
  <c r="L14" i="3" l="1"/>
  <c r="L19" i="1"/>
  <c r="L18" i="1"/>
  <c r="J16" i="3"/>
  <c r="I16" i="3" s="1"/>
  <c r="S18" i="4"/>
  <c r="J16" i="2"/>
  <c r="I16" i="2" s="1"/>
  <c r="L16" i="2" s="1"/>
  <c r="I14" i="2"/>
  <c r="L14" i="2" s="1"/>
  <c r="E14" i="2"/>
  <c r="E18" i="1"/>
  <c r="E19" i="1"/>
  <c r="J19" i="4"/>
  <c r="I19" i="4" s="1"/>
  <c r="L19" i="4" s="1"/>
  <c r="E18" i="4"/>
  <c r="J20" i="1"/>
  <c r="I20" i="1" s="1"/>
  <c r="J21" i="1"/>
  <c r="I21" i="1" s="1"/>
  <c r="L16" i="3" l="1"/>
  <c r="L20" i="1"/>
  <c r="L21" i="1"/>
  <c r="J17" i="3"/>
  <c r="I17" i="3" s="1"/>
  <c r="E16" i="3"/>
  <c r="S19" i="4"/>
  <c r="J17" i="2"/>
  <c r="I17" i="2" s="1"/>
  <c r="L17" i="2" s="1"/>
  <c r="E16" i="2"/>
  <c r="E17" i="3"/>
  <c r="E21" i="1"/>
  <c r="E20" i="1"/>
  <c r="J20" i="4"/>
  <c r="I20" i="4" s="1"/>
  <c r="L20" i="4" s="1"/>
  <c r="E19" i="4"/>
  <c r="L17" i="3" l="1"/>
  <c r="J18" i="3"/>
  <c r="I18" i="3" s="1"/>
  <c r="S20" i="4"/>
  <c r="J18" i="2"/>
  <c r="I18" i="2" s="1"/>
  <c r="L18" i="2" s="1"/>
  <c r="E17" i="2"/>
  <c r="E18" i="3"/>
  <c r="J21" i="4"/>
  <c r="I21" i="4" s="1"/>
  <c r="L21" i="4" s="1"/>
  <c r="E20" i="4"/>
  <c r="L18" i="3" l="1"/>
  <c r="J19" i="3"/>
  <c r="I19" i="3" s="1"/>
  <c r="S21" i="4"/>
  <c r="J19" i="2"/>
  <c r="I19" i="2" s="1"/>
  <c r="L19" i="2" s="1"/>
  <c r="E18" i="2"/>
  <c r="E19" i="2"/>
  <c r="E21" i="4"/>
  <c r="J20" i="2"/>
  <c r="I20" i="2" s="1"/>
  <c r="L20" i="2" s="1"/>
  <c r="L19" i="3" l="1"/>
  <c r="E19" i="3"/>
  <c r="J20" i="3"/>
  <c r="I20" i="3" s="1"/>
  <c r="E20" i="2"/>
  <c r="J21" i="2"/>
  <c r="I21" i="2" s="1"/>
  <c r="L21" i="2" s="1"/>
  <c r="L20" i="3" l="1"/>
  <c r="J21" i="3"/>
  <c r="I21" i="3" s="1"/>
  <c r="E20" i="3"/>
  <c r="E21" i="2"/>
  <c r="L21" i="3" l="1"/>
  <c r="E21" i="3"/>
</calcChain>
</file>

<file path=xl/sharedStrings.xml><?xml version="1.0" encoding="utf-8"?>
<sst xmlns="http://schemas.openxmlformats.org/spreadsheetml/2006/main" count="361" uniqueCount="69">
  <si>
    <t>Bảng giá Combo 16</t>
  </si>
  <si>
    <t>Dòng sứ</t>
  </si>
  <si>
    <t>Xuất xứ</t>
  </si>
  <si>
    <t>Giá niêm yết/răng</t>
  </si>
  <si>
    <t>Đơn giá 16 răng</t>
  </si>
  <si>
    <t>Giảm</t>
  </si>
  <si>
    <t>Giá sau giảm/ 1 răng</t>
  </si>
  <si>
    <t>Giá sau giảm/16 răng</t>
  </si>
  <si>
    <t>Bảo hành</t>
  </si>
  <si>
    <t>Khuyến mãi</t>
  </si>
  <si>
    <t>Zirconia HT</t>
  </si>
  <si>
    <t>Đức</t>
  </si>
  <si>
    <t>2 năm</t>
  </si>
  <si>
    <t>CVR trong thời gian bảo hành</t>
  </si>
  <si>
    <t>DDBIO</t>
  </si>
  <si>
    <t>10 năm</t>
  </si>
  <si>
    <t>Cercon</t>
  </si>
  <si>
    <t>7 năm</t>
  </si>
  <si>
    <t xml:space="preserve">5 năm bảo hành + CVR </t>
  </si>
  <si>
    <t>Cercon HT</t>
  </si>
  <si>
    <t xml:space="preserve">7 năm bảo hành + CVR </t>
  </si>
  <si>
    <t>HT Smile</t>
  </si>
  <si>
    <t>Ceramil</t>
  </si>
  <si>
    <t>Cercon HT Multilayer</t>
  </si>
  <si>
    <t>Nacera</t>
  </si>
  <si>
    <t xml:space="preserve"> 10 năm bảo hành + CVR + Bàn chải điện</t>
  </si>
  <si>
    <t>Lava 3M ESTHETIC</t>
  </si>
  <si>
    <t>Mỹ</t>
  </si>
  <si>
    <t>15 năm</t>
  </si>
  <si>
    <t>Orodent Hight tranlucent</t>
  </si>
  <si>
    <t xml:space="preserve">Ý </t>
  </si>
  <si>
    <t>19 năm</t>
  </si>
  <si>
    <t>Orodent Bleach</t>
  </si>
  <si>
    <t>Trọn đời + CVR + Bàn chải điện</t>
  </si>
  <si>
    <t>Veneer Emax có mài</t>
  </si>
  <si>
    <t>Tặng 5 năm + CVR + Bàn chải điện</t>
  </si>
  <si>
    <t>Veneer Lisi có mài</t>
  </si>
  <si>
    <t>Nhật</t>
  </si>
  <si>
    <t>Giá sau giảm/10 răng</t>
  </si>
  <si>
    <t>Orodent High Translucent</t>
  </si>
  <si>
    <t>Đơn giá 2-8 răng</t>
  </si>
  <si>
    <t>Giá sau giảm/8 răng</t>
  </si>
  <si>
    <t>Lưu ý</t>
  </si>
  <si>
    <t>Bảng giá 9-15 từ Nacera trở lên xin quản lý BCĐ</t>
  </si>
  <si>
    <t>Bảng giá 2-8 từ lava plus trở lên xin quản lý BCĐ</t>
  </si>
  <si>
    <t>Đơn giá 10 răng</t>
  </si>
  <si>
    <t>Bảng giá Combo 8 răng</t>
  </si>
  <si>
    <t>Bảng giá Combo 10 răng</t>
  </si>
  <si>
    <t>Emax Zircad</t>
  </si>
  <si>
    <t>3 năm bảo hành + CVR</t>
  </si>
  <si>
    <t>Zircad Prime Esthetic</t>
  </si>
  <si>
    <t xml:space="preserve"> 10 năm bảo hành + CVR </t>
  </si>
  <si>
    <t>Tặng 5 năm + CVR</t>
  </si>
  <si>
    <t>Orodent Bleach Innovation</t>
  </si>
  <si>
    <t xml:space="preserve">10 năm bảo hành + CVR </t>
  </si>
  <si>
    <t>Bảng giá Combo 20</t>
  </si>
  <si>
    <t>Veneer Emax không mài</t>
  </si>
  <si>
    <t xml:space="preserve">  </t>
  </si>
  <si>
    <t>VAT</t>
  </si>
  <si>
    <t>COST</t>
  </si>
  <si>
    <t>Cost</t>
  </si>
  <si>
    <t>Vat</t>
  </si>
  <si>
    <t>Giới thiệu</t>
  </si>
  <si>
    <t>Total</t>
  </si>
  <si>
    <t>Lợi nhuận</t>
  </si>
  <si>
    <t>Còn lại</t>
  </si>
  <si>
    <t>Tiền còn lại</t>
  </si>
  <si>
    <t>Cost tiền</t>
  </si>
  <si>
    <t>Tiền lợi nhuận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</si>
</sst>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2"/>
      <name val="Times New Roman"/>
      <family val="1"/>
    </font>
    <font>
      <b/>
      <i/>
      <sz val="11"/>
      <name val="Times New Roman"/>
      <family val="1"/>
    </font>
    <font>
      <b/>
      <i/>
      <sz val="11"/>
      <color theme="1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9" fontId="4" fillId="3" borderId="1" xfId="2" applyFont="1" applyFill="1" applyBorder="1"/>
    <xf numFmtId="164" fontId="3" fillId="3" borderId="1" xfId="0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vertical="center"/>
    </xf>
    <xf numFmtId="0" fontId="4" fillId="0" borderId="0" xfId="0" applyFont="1"/>
    <xf numFmtId="164" fontId="4" fillId="0" borderId="0" xfId="0" applyNumberFormat="1" applyFont="1"/>
    <xf numFmtId="0" fontId="4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5" borderId="1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4" fillId="5" borderId="1" xfId="2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164" fontId="4" fillId="6" borderId="1" xfId="1" applyNumberFormat="1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1" applyNumberFormat="1" applyFont="1" applyFill="1" applyBorder="1" applyAlignment="1">
      <alignment horizontal="center" vertical="center"/>
    </xf>
    <xf numFmtId="9" fontId="4" fillId="7" borderId="1" xfId="2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3" fillId="7" borderId="1" xfId="1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9" fontId="4" fillId="4" borderId="1" xfId="2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center" vertical="center"/>
    </xf>
    <xf numFmtId="9" fontId="2" fillId="6" borderId="1" xfId="2" applyFont="1" applyFill="1" applyBorder="1" applyAlignment="1">
      <alignment horizontal="center" vertical="center"/>
    </xf>
    <xf numFmtId="164" fontId="8" fillId="6" borderId="1" xfId="1" applyNumberFormat="1" applyFont="1" applyFill="1" applyBorder="1" applyAlignment="1">
      <alignment horizontal="center" vertical="center"/>
    </xf>
    <xf numFmtId="164" fontId="7" fillId="7" borderId="1" xfId="0" applyNumberFormat="1" applyFont="1" applyFill="1" applyBorder="1" applyAlignment="1">
      <alignment horizontal="center"/>
    </xf>
    <xf numFmtId="164" fontId="6" fillId="7" borderId="1" xfId="1" applyNumberFormat="1" applyFont="1" applyFill="1" applyBorder="1" applyAlignment="1">
      <alignment vertical="center"/>
    </xf>
    <xf numFmtId="9" fontId="4" fillId="7" borderId="1" xfId="2" applyFont="1" applyFill="1" applyBorder="1"/>
    <xf numFmtId="164" fontId="3" fillId="7" borderId="1" xfId="0" applyNumberFormat="1" applyFont="1" applyFill="1" applyBorder="1"/>
    <xf numFmtId="164" fontId="7" fillId="7" borderId="1" xfId="0" applyNumberFormat="1" applyFont="1" applyFill="1" applyBorder="1"/>
    <xf numFmtId="164" fontId="3" fillId="7" borderId="1" xfId="1" applyNumberFormat="1" applyFont="1" applyFill="1" applyBorder="1" applyAlignment="1">
      <alignment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9" fontId="5" fillId="7" borderId="1" xfId="2" applyFont="1" applyFill="1" applyBorder="1"/>
    <xf numFmtId="164" fontId="6" fillId="7" borderId="1" xfId="0" applyNumberFormat="1" applyFont="1" applyFill="1" applyBorder="1"/>
    <xf numFmtId="0" fontId="5" fillId="7" borderId="1" xfId="0" applyFont="1" applyFill="1" applyBorder="1" applyAlignment="1">
      <alignment horizontal="center" vertical="center"/>
    </xf>
    <xf numFmtId="164" fontId="6" fillId="7" borderId="2" xfId="0" applyNumberFormat="1" applyFont="1" applyFill="1" applyBorder="1"/>
    <xf numFmtId="164" fontId="3" fillId="8" borderId="1" xfId="1" applyNumberFormat="1" applyFont="1" applyFill="1" applyBorder="1"/>
    <xf numFmtId="0" fontId="3" fillId="8" borderId="1" xfId="0" applyFont="1" applyFill="1" applyBorder="1" applyAlignment="1">
      <alignment horizontal="center" vertical="center"/>
    </xf>
    <xf numFmtId="164" fontId="6" fillId="8" borderId="1" xfId="1" applyNumberFormat="1" applyFont="1" applyFill="1" applyBorder="1" applyAlignment="1">
      <alignment vertical="center"/>
    </xf>
    <xf numFmtId="164" fontId="6" fillId="8" borderId="1" xfId="1" applyNumberFormat="1" applyFont="1" applyFill="1" applyBorder="1" applyAlignment="1">
      <alignment horizontal="center" vertical="center"/>
    </xf>
    <xf numFmtId="9" fontId="4" fillId="8" borderId="1" xfId="2" applyFont="1" applyFill="1" applyBorder="1"/>
    <xf numFmtId="164" fontId="3" fillId="8" borderId="1" xfId="0" applyNumberFormat="1" applyFont="1" applyFill="1" applyBorder="1"/>
    <xf numFmtId="164" fontId="7" fillId="8" borderId="1" xfId="0" applyNumberFormat="1" applyFont="1" applyFill="1" applyBorder="1"/>
    <xf numFmtId="0" fontId="4" fillId="8" borderId="1" xfId="0" applyFont="1" applyFill="1" applyBorder="1" applyAlignment="1">
      <alignment horizontal="center" vertical="center"/>
    </xf>
    <xf numFmtId="164" fontId="3" fillId="7" borderId="2" xfId="0" applyNumberFormat="1" applyFont="1" applyFill="1" applyBorder="1"/>
    <xf numFmtId="164" fontId="3" fillId="7" borderId="2" xfId="0" applyNumberFormat="1" applyFont="1" applyFill="1" applyBorder="1" applyAlignment="1">
      <alignment horizontal="center"/>
    </xf>
    <xf numFmtId="164" fontId="3" fillId="8" borderId="1" xfId="1" applyNumberFormat="1" applyFont="1" applyFill="1" applyBorder="1" applyAlignment="1">
      <alignment horizontal="center" vertical="center"/>
    </xf>
    <xf numFmtId="9" fontId="4" fillId="8" borderId="1" xfId="2" applyFont="1" applyFill="1" applyBorder="1" applyAlignment="1">
      <alignment horizontal="center"/>
    </xf>
    <xf numFmtId="164" fontId="3" fillId="8" borderId="1" xfId="0" applyNumberFormat="1" applyFont="1" applyFill="1" applyBorder="1" applyAlignment="1">
      <alignment horizontal="center"/>
    </xf>
    <xf numFmtId="164" fontId="7" fillId="8" borderId="1" xfId="0" applyNumberFormat="1" applyFont="1" applyFill="1" applyBorder="1" applyAlignment="1">
      <alignment horizontal="center"/>
    </xf>
    <xf numFmtId="164" fontId="3" fillId="8" borderId="1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2" fontId="4" fillId="6" borderId="1" xfId="1" applyNumberFormat="1" applyFont="1" applyFill="1" applyBorder="1" applyAlignment="1">
      <alignment horizontal="center" vertical="center"/>
    </xf>
    <xf numFmtId="2" fontId="6" fillId="7" borderId="1" xfId="1" applyNumberFormat="1" applyFont="1" applyFill="1" applyBorder="1" applyAlignment="1">
      <alignment vertical="center"/>
    </xf>
    <xf numFmtId="2" fontId="6" fillId="8" borderId="1" xfId="1" applyNumberFormat="1" applyFont="1" applyFill="1" applyBorder="1" applyAlignment="1">
      <alignment vertical="center"/>
    </xf>
    <xf numFmtId="2" fontId="3" fillId="0" borderId="0" xfId="0" applyNumberFormat="1" applyFont="1"/>
    <xf numFmtId="2" fontId="6" fillId="7" borderId="1" xfId="1" applyNumberFormat="1" applyFont="1" applyFill="1" applyBorder="1" applyAlignment="1">
      <alignment horizontal="center" vertical="center"/>
    </xf>
    <xf numFmtId="2" fontId="6" fillId="8" borderId="1" xfId="1" applyNumberFormat="1" applyFont="1" applyFill="1" applyBorder="1" applyAlignment="1">
      <alignment horizontal="center" vertical="center"/>
    </xf>
    <xf numFmtId="2" fontId="5" fillId="6" borderId="1" xfId="1" applyNumberFormat="1" applyFont="1" applyFill="1" applyBorder="1" applyAlignment="1">
      <alignment horizontal="center" vertical="center"/>
    </xf>
    <xf numFmtId="2" fontId="3" fillId="7" borderId="1" xfId="1" applyNumberFormat="1" applyFont="1" applyFill="1" applyBorder="1"/>
    <xf numFmtId="2" fontId="3" fillId="8" borderId="1" xfId="1" applyNumberFormat="1" applyFont="1" applyFill="1" applyBorder="1"/>
    <xf numFmtId="2" fontId="4" fillId="0" borderId="0" xfId="0" applyNumberFormat="1" applyFont="1"/>
    <xf numFmtId="164" fontId="6" fillId="7" borderId="1" xfId="1" applyNumberFormat="1" applyFont="1" applyFill="1" applyBorder="1"/>
    <xf numFmtId="164" fontId="11" fillId="7" borderId="1" xfId="1" applyNumberFormat="1" applyFont="1" applyFill="1" applyBorder="1"/>
    <xf numFmtId="164" fontId="6" fillId="8" borderId="1" xfId="1" applyNumberFormat="1" applyFont="1" applyFill="1" applyBorder="1"/>
    <xf numFmtId="164" fontId="11" fillId="8" borderId="1" xfId="1" applyNumberFormat="1" applyFont="1" applyFill="1" applyBorder="1"/>
    <xf numFmtId="0" fontId="2" fillId="6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8" borderId="1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9" fontId="5" fillId="7" borderId="2" xfId="0" applyNumberFormat="1" applyFont="1" applyFill="1" applyBorder="1" applyAlignment="1">
      <alignment horizontal="center" vertical="center"/>
    </xf>
    <xf numFmtId="9" fontId="4" fillId="8" borderId="2" xfId="0" applyNumberFormat="1" applyFont="1" applyFill="1" applyBorder="1" applyAlignment="1">
      <alignment horizontal="center" vertical="center"/>
    </xf>
    <xf numFmtId="9" fontId="12" fillId="7" borderId="1" xfId="0" applyNumberFormat="1" applyFont="1" applyFill="1" applyBorder="1" applyAlignment="1">
      <alignment horizontal="center" vertical="center"/>
    </xf>
    <xf numFmtId="9" fontId="12" fillId="8" borderId="1" xfId="0" applyNumberFormat="1" applyFont="1" applyFill="1" applyBorder="1" applyAlignment="1">
      <alignment horizontal="center" vertical="center"/>
    </xf>
    <xf numFmtId="9" fontId="12" fillId="7" borderId="2" xfId="0" applyNumberFormat="1" applyFont="1" applyFill="1" applyBorder="1" applyAlignment="1">
      <alignment horizontal="center" vertical="center"/>
    </xf>
    <xf numFmtId="9" fontId="12" fillId="8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164" fontId="12" fillId="7" borderId="2" xfId="1" applyNumberFormat="1" applyFont="1" applyFill="1" applyBorder="1" applyAlignment="1">
      <alignment horizontal="center" vertical="center"/>
    </xf>
    <xf numFmtId="164" fontId="4" fillId="7" borderId="2" xfId="1" applyNumberFormat="1" applyFont="1" applyFill="1" applyBorder="1" applyAlignment="1">
      <alignment horizontal="center" vertical="center"/>
    </xf>
    <xf numFmtId="164" fontId="4" fillId="8" borderId="2" xfId="1" applyNumberFormat="1" applyFont="1" applyFill="1" applyBorder="1" applyAlignment="1">
      <alignment horizontal="center" vertical="center"/>
    </xf>
    <xf numFmtId="164" fontId="5" fillId="7" borderId="2" xfId="1" applyNumberFormat="1" applyFont="1" applyFill="1" applyBorder="1" applyAlignment="1">
      <alignment horizontal="center" vertical="center"/>
    </xf>
    <xf numFmtId="164" fontId="5" fillId="8" borderId="2" xfId="1" applyNumberFormat="1" applyFont="1" applyFill="1" applyBorder="1" applyAlignment="1">
      <alignment horizontal="center" vertical="center"/>
    </xf>
    <xf numFmtId="164" fontId="4" fillId="7" borderId="1" xfId="1" applyNumberFormat="1" applyFont="1" applyFill="1" applyBorder="1" applyAlignment="1">
      <alignment horizontal="center" vertical="center"/>
    </xf>
    <xf numFmtId="164" fontId="4" fillId="8" borderId="1" xfId="1" applyNumberFormat="1" applyFont="1" applyFill="1" applyBorder="1" applyAlignment="1">
      <alignment horizontal="center" vertical="center"/>
    </xf>
    <xf numFmtId="164" fontId="12" fillId="7" borderId="1" xfId="1" applyNumberFormat="1" applyFont="1" applyFill="1" applyBorder="1" applyAlignment="1">
      <alignment horizontal="center" vertical="center"/>
    </xf>
    <xf numFmtId="164" fontId="12" fillId="8" borderId="2" xfId="1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277692</xdr:colOff>
      <xdr:row>4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E0228F-7981-485E-AB39-E8104674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2406529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349129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2149354" cy="895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158629</xdr:colOff>
      <xdr:row>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9354" cy="8953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526216</xdr:colOff>
      <xdr:row>4</xdr:row>
      <xdr:rowOff>117799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9354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D221-5126-44A1-87BC-D865D91F2C27}">
  <dimension ref="A1:U69"/>
  <sheetViews>
    <sheetView topLeftCell="B4" workbookViewId="0">
      <selection activeCell="S18" sqref="S18"/>
    </sheetView>
  </sheetViews>
  <sheetFormatPr defaultColWidth="8.75" defaultRowHeight="13.9" x14ac:dyDescent="0.4"/>
  <cols>
    <col min="1" max="1" width="27" style="1" customWidth="1"/>
    <col min="2" max="2" width="8.75" style="1"/>
    <col min="3" max="3" width="17.75" style="1" hidden="1" customWidth="1"/>
    <col min="4" max="4" width="14.375" style="69" hidden="1" customWidth="1"/>
    <col min="5" max="5" width="17.25" style="69" hidden="1" customWidth="1"/>
    <col min="6" max="6" width="0" style="7" hidden="1" customWidth="1"/>
    <col min="7" max="8" width="16.125" style="69" hidden="1" customWidth="1"/>
    <col min="9" max="9" width="18.125" style="75" customWidth="1"/>
    <col min="10" max="18" width="11.25" style="1" customWidth="1"/>
    <col min="19" max="19" width="15.5" style="1" customWidth="1"/>
    <col min="20" max="20" width="13.25" style="1" customWidth="1"/>
    <col min="21" max="21" width="37.5" style="1" customWidth="1"/>
    <col min="22" max="16384" width="8.75" style="1"/>
  </cols>
  <sheetData>
    <row r="1" spans="1:21" x14ac:dyDescent="0.4">
      <c r="G1" s="69" t="s">
        <v>57</v>
      </c>
    </row>
    <row r="6" spans="1:21" ht="15" x14ac:dyDescent="0.4">
      <c r="A6" s="105" t="s">
        <v>55</v>
      </c>
      <c r="B6" s="105"/>
      <c r="C6" s="105"/>
      <c r="D6" s="105"/>
      <c r="E6" s="105"/>
      <c r="F6" s="105"/>
      <c r="G6" s="105"/>
      <c r="H6" s="105"/>
      <c r="I6" s="105"/>
      <c r="J6" s="105"/>
      <c r="K6" s="80"/>
      <c r="L6" s="80"/>
      <c r="M6" s="80"/>
      <c r="N6" s="80"/>
      <c r="O6" s="80"/>
      <c r="P6" s="80"/>
      <c r="Q6" s="80"/>
      <c r="R6" s="80"/>
      <c r="S6" s="80"/>
    </row>
    <row r="7" spans="1:21" x14ac:dyDescent="0.4">
      <c r="A7" s="20" t="s">
        <v>1</v>
      </c>
      <c r="B7" s="20" t="s">
        <v>2</v>
      </c>
      <c r="C7" s="21" t="s">
        <v>3</v>
      </c>
      <c r="D7" s="66" t="s">
        <v>3</v>
      </c>
      <c r="E7" s="66" t="s">
        <v>4</v>
      </c>
      <c r="F7" s="22" t="s">
        <v>5</v>
      </c>
      <c r="G7" s="72" t="s">
        <v>6</v>
      </c>
      <c r="H7" s="72" t="s">
        <v>6</v>
      </c>
      <c r="I7" s="66" t="s">
        <v>7</v>
      </c>
      <c r="J7" s="20">
        <v>20</v>
      </c>
      <c r="K7" s="81" t="s">
        <v>60</v>
      </c>
      <c r="L7" s="81" t="s">
        <v>67</v>
      </c>
      <c r="M7" s="81" t="s">
        <v>61</v>
      </c>
      <c r="N7" s="81" t="s">
        <v>62</v>
      </c>
      <c r="O7" s="81" t="s">
        <v>63</v>
      </c>
      <c r="P7" s="81" t="s">
        <v>64</v>
      </c>
      <c r="Q7" s="81" t="s">
        <v>9</v>
      </c>
      <c r="R7" s="81" t="s">
        <v>65</v>
      </c>
      <c r="S7" s="81" t="s">
        <v>66</v>
      </c>
      <c r="T7" s="12" t="s">
        <v>8</v>
      </c>
      <c r="U7" s="2" t="s">
        <v>9</v>
      </c>
    </row>
    <row r="8" spans="1:21" ht="17.25" x14ac:dyDescent="0.45">
      <c r="A8" s="44" t="s">
        <v>10</v>
      </c>
      <c r="B8" s="24" t="s">
        <v>11</v>
      </c>
      <c r="C8" s="39">
        <v>2500000</v>
      </c>
      <c r="D8" s="39">
        <f>C8+(C8*10%)</f>
        <v>2750000</v>
      </c>
      <c r="E8" s="25">
        <f t="shared" ref="E8:E21" si="0">D8*J8</f>
        <v>55000000</v>
      </c>
      <c r="F8" s="46">
        <v>0.4</v>
      </c>
      <c r="G8" s="76">
        <f>(D8-(D8*F8))</f>
        <v>1650000</v>
      </c>
      <c r="H8" s="76">
        <f>ROUND(VALUE(G8), -5)</f>
        <v>1700000</v>
      </c>
      <c r="I8" s="77">
        <f>H8*J8</f>
        <v>34000000</v>
      </c>
      <c r="J8" s="48">
        <f>J7</f>
        <v>20</v>
      </c>
      <c r="K8" s="89">
        <v>0.7</v>
      </c>
      <c r="L8" s="99">
        <f>I8*K8</f>
        <v>23800000</v>
      </c>
      <c r="M8" s="84">
        <v>0.1</v>
      </c>
      <c r="N8" s="84">
        <v>0.15</v>
      </c>
      <c r="O8" s="84">
        <f>K8+M8+N8</f>
        <v>0.95</v>
      </c>
      <c r="P8" s="93">
        <f>100%-O8</f>
        <v>5.0000000000000044E-2</v>
      </c>
      <c r="Q8" s="93"/>
      <c r="R8" s="93">
        <f>P8-Q8</f>
        <v>5.0000000000000044E-2</v>
      </c>
      <c r="S8" s="93"/>
      <c r="T8" s="49" t="s">
        <v>12</v>
      </c>
      <c r="U8" s="47" t="s">
        <v>13</v>
      </c>
    </row>
    <row r="9" spans="1:21" ht="17.25" x14ac:dyDescent="0.45">
      <c r="A9" s="44" t="s">
        <v>14</v>
      </c>
      <c r="B9" s="24" t="s">
        <v>11</v>
      </c>
      <c r="C9" s="39">
        <v>3500000</v>
      </c>
      <c r="D9" s="39">
        <f t="shared" ref="D9:D25" si="1">C9+(C9*10%)</f>
        <v>3850000</v>
      </c>
      <c r="E9" s="25">
        <f t="shared" si="0"/>
        <v>77000000</v>
      </c>
      <c r="F9" s="46">
        <v>0.4</v>
      </c>
      <c r="G9" s="76">
        <f t="shared" ref="G9:G25" si="2">D9-(D9*F9)</f>
        <v>2310000</v>
      </c>
      <c r="H9" s="76">
        <f t="shared" ref="H9:H25" si="3">ROUND(VALUE(G9), -5)</f>
        <v>2300000</v>
      </c>
      <c r="I9" s="77">
        <f t="shared" ref="I9:I25" si="4">H9*J9</f>
        <v>46000000</v>
      </c>
      <c r="J9" s="48">
        <f t="shared" ref="J9:J21" si="5">J8</f>
        <v>20</v>
      </c>
      <c r="K9" s="89">
        <v>0.64</v>
      </c>
      <c r="L9" s="99">
        <f t="shared" ref="L9:L25" si="6">I9*K9</f>
        <v>29440000</v>
      </c>
      <c r="M9" s="84">
        <v>0.1</v>
      </c>
      <c r="N9" s="84">
        <v>0.15</v>
      </c>
      <c r="O9" s="84">
        <f t="shared" ref="O9:O25" si="7">K9+M9+N9</f>
        <v>0.89</v>
      </c>
      <c r="P9" s="93">
        <f t="shared" ref="P9:P25" si="8">100%-O9</f>
        <v>0.10999999999999999</v>
      </c>
      <c r="Q9" s="93"/>
      <c r="R9" s="93">
        <f t="shared" ref="R9:R21" si="9">P9-Q9</f>
        <v>0.10999999999999999</v>
      </c>
      <c r="S9" s="93"/>
      <c r="T9" s="49" t="s">
        <v>15</v>
      </c>
      <c r="U9" s="47" t="s">
        <v>13</v>
      </c>
    </row>
    <row r="10" spans="1:21" ht="17.25" x14ac:dyDescent="0.45">
      <c r="A10" s="44" t="s">
        <v>16</v>
      </c>
      <c r="B10" s="24" t="s">
        <v>11</v>
      </c>
      <c r="C10" s="39">
        <v>4000000</v>
      </c>
      <c r="D10" s="39">
        <f t="shared" si="1"/>
        <v>4400000</v>
      </c>
      <c r="E10" s="25">
        <f t="shared" si="0"/>
        <v>88000000</v>
      </c>
      <c r="F10" s="46">
        <v>0.37</v>
      </c>
      <c r="G10" s="76">
        <f t="shared" si="2"/>
        <v>2772000</v>
      </c>
      <c r="H10" s="76">
        <f t="shared" si="3"/>
        <v>2800000</v>
      </c>
      <c r="I10" s="77">
        <f t="shared" si="4"/>
        <v>56000000</v>
      </c>
      <c r="J10" s="48">
        <f t="shared" si="5"/>
        <v>20</v>
      </c>
      <c r="K10" s="89">
        <v>0.62</v>
      </c>
      <c r="L10" s="99">
        <f t="shared" si="6"/>
        <v>34720000</v>
      </c>
      <c r="M10" s="84">
        <v>0.1</v>
      </c>
      <c r="N10" s="84">
        <v>0.15</v>
      </c>
      <c r="O10" s="84">
        <f t="shared" si="7"/>
        <v>0.87</v>
      </c>
      <c r="P10" s="93">
        <f t="shared" si="8"/>
        <v>0.13</v>
      </c>
      <c r="Q10" s="93"/>
      <c r="R10" s="93">
        <f t="shared" si="9"/>
        <v>0.13</v>
      </c>
      <c r="S10" s="93"/>
      <c r="T10" s="49" t="s">
        <v>17</v>
      </c>
      <c r="U10" s="47" t="s">
        <v>18</v>
      </c>
    </row>
    <row r="11" spans="1:21" ht="17.25" x14ac:dyDescent="0.45">
      <c r="A11" s="44" t="s">
        <v>48</v>
      </c>
      <c r="B11" s="24" t="s">
        <v>27</v>
      </c>
      <c r="C11" s="39">
        <v>6000000</v>
      </c>
      <c r="D11" s="39">
        <f t="shared" si="1"/>
        <v>6600000</v>
      </c>
      <c r="E11" s="25">
        <f t="shared" si="0"/>
        <v>132000000</v>
      </c>
      <c r="F11" s="46">
        <v>0.45</v>
      </c>
      <c r="G11" s="76">
        <f t="shared" si="2"/>
        <v>3630000</v>
      </c>
      <c r="H11" s="76">
        <f t="shared" si="3"/>
        <v>3600000</v>
      </c>
      <c r="I11" s="77">
        <f t="shared" si="4"/>
        <v>72000000</v>
      </c>
      <c r="J11" s="48">
        <f t="shared" si="5"/>
        <v>20</v>
      </c>
      <c r="K11" s="89">
        <v>0.55000000000000004</v>
      </c>
      <c r="L11" s="99">
        <f t="shared" si="6"/>
        <v>39600000</v>
      </c>
      <c r="M11" s="84">
        <v>0.1</v>
      </c>
      <c r="N11" s="84">
        <v>0.15</v>
      </c>
      <c r="O11" s="84">
        <f t="shared" si="7"/>
        <v>0.8</v>
      </c>
      <c r="P11" s="93">
        <f t="shared" si="8"/>
        <v>0.19999999999999996</v>
      </c>
      <c r="Q11" s="93"/>
      <c r="R11" s="93">
        <f t="shared" si="9"/>
        <v>0.19999999999999996</v>
      </c>
      <c r="S11" s="93"/>
      <c r="T11" s="49" t="s">
        <v>15</v>
      </c>
      <c r="U11" s="47" t="s">
        <v>49</v>
      </c>
    </row>
    <row r="12" spans="1:21" ht="17.25" hidden="1" x14ac:dyDescent="0.45">
      <c r="A12" s="44" t="s">
        <v>19</v>
      </c>
      <c r="B12" s="24" t="s">
        <v>11</v>
      </c>
      <c r="C12" s="39">
        <v>6000000</v>
      </c>
      <c r="D12" s="39">
        <f t="shared" si="1"/>
        <v>6600000</v>
      </c>
      <c r="E12" s="25">
        <f t="shared" si="0"/>
        <v>132000000</v>
      </c>
      <c r="F12" s="46">
        <v>0.45</v>
      </c>
      <c r="G12" s="76">
        <f t="shared" si="2"/>
        <v>3630000</v>
      </c>
      <c r="H12" s="76">
        <f t="shared" si="3"/>
        <v>3600000</v>
      </c>
      <c r="I12" s="77">
        <f t="shared" si="4"/>
        <v>72000000</v>
      </c>
      <c r="J12" s="48">
        <f t="shared" si="5"/>
        <v>20</v>
      </c>
      <c r="K12" s="88"/>
      <c r="L12" s="99">
        <f t="shared" si="6"/>
        <v>0</v>
      </c>
      <c r="M12" s="84">
        <v>0.1</v>
      </c>
      <c r="N12" s="84">
        <v>0.15</v>
      </c>
      <c r="O12" s="84">
        <f t="shared" si="7"/>
        <v>0.25</v>
      </c>
      <c r="P12" s="93">
        <f t="shared" si="8"/>
        <v>0.75</v>
      </c>
      <c r="Q12" s="93"/>
      <c r="R12" s="93">
        <f t="shared" si="9"/>
        <v>0.75</v>
      </c>
      <c r="S12" s="93"/>
      <c r="T12" s="49" t="s">
        <v>17</v>
      </c>
      <c r="U12" s="47" t="s">
        <v>20</v>
      </c>
    </row>
    <row r="13" spans="1:21" ht="17.25" x14ac:dyDescent="0.45">
      <c r="A13" s="44" t="s">
        <v>21</v>
      </c>
      <c r="B13" s="24" t="s">
        <v>11</v>
      </c>
      <c r="C13" s="39">
        <v>7500000</v>
      </c>
      <c r="D13" s="39">
        <f t="shared" si="1"/>
        <v>8250000</v>
      </c>
      <c r="E13" s="25">
        <f t="shared" si="0"/>
        <v>165000000</v>
      </c>
      <c r="F13" s="46">
        <v>0.45</v>
      </c>
      <c r="G13" s="76">
        <f t="shared" si="2"/>
        <v>4537500</v>
      </c>
      <c r="H13" s="76">
        <f t="shared" si="3"/>
        <v>4500000</v>
      </c>
      <c r="I13" s="77">
        <f t="shared" si="4"/>
        <v>90000000</v>
      </c>
      <c r="J13" s="48">
        <f t="shared" si="5"/>
        <v>20</v>
      </c>
      <c r="K13" s="89">
        <v>0.43</v>
      </c>
      <c r="L13" s="99">
        <f t="shared" si="6"/>
        <v>38700000</v>
      </c>
      <c r="M13" s="84">
        <v>0.1</v>
      </c>
      <c r="N13" s="84">
        <v>0.15</v>
      </c>
      <c r="O13" s="84">
        <f t="shared" si="7"/>
        <v>0.68</v>
      </c>
      <c r="P13" s="93">
        <f t="shared" si="8"/>
        <v>0.31999999999999995</v>
      </c>
      <c r="Q13" s="93">
        <v>0.1</v>
      </c>
      <c r="R13" s="93">
        <f t="shared" si="9"/>
        <v>0.21999999999999995</v>
      </c>
      <c r="S13" s="96">
        <f>I13*R13</f>
        <v>19799999.999999996</v>
      </c>
      <c r="T13" s="49" t="s">
        <v>15</v>
      </c>
      <c r="U13" s="47" t="s">
        <v>18</v>
      </c>
    </row>
    <row r="14" spans="1:21" ht="17.25" x14ac:dyDescent="0.45">
      <c r="A14" s="44" t="s">
        <v>22</v>
      </c>
      <c r="B14" s="24" t="s">
        <v>11</v>
      </c>
      <c r="C14" s="39">
        <v>8500000</v>
      </c>
      <c r="D14" s="39">
        <f t="shared" si="1"/>
        <v>9350000</v>
      </c>
      <c r="E14" s="25">
        <f t="shared" si="0"/>
        <v>187000000</v>
      </c>
      <c r="F14" s="46">
        <v>0.45</v>
      </c>
      <c r="G14" s="76">
        <f t="shared" si="2"/>
        <v>5142500</v>
      </c>
      <c r="H14" s="76">
        <f t="shared" si="3"/>
        <v>5100000</v>
      </c>
      <c r="I14" s="77">
        <f t="shared" si="4"/>
        <v>102000000</v>
      </c>
      <c r="J14" s="48">
        <f t="shared" si="5"/>
        <v>20</v>
      </c>
      <c r="K14" s="89">
        <v>0.41</v>
      </c>
      <c r="L14" s="99">
        <f t="shared" si="6"/>
        <v>41820000</v>
      </c>
      <c r="M14" s="84">
        <v>0.1</v>
      </c>
      <c r="N14" s="84">
        <v>0.15</v>
      </c>
      <c r="O14" s="84">
        <f t="shared" si="7"/>
        <v>0.66</v>
      </c>
      <c r="P14" s="93">
        <f t="shared" si="8"/>
        <v>0.33999999999999997</v>
      </c>
      <c r="Q14" s="93">
        <v>0.1</v>
      </c>
      <c r="R14" s="93">
        <f t="shared" si="9"/>
        <v>0.23999999999999996</v>
      </c>
      <c r="S14" s="96">
        <f t="shared" ref="S14:S21" si="10">I14*R14</f>
        <v>24479999.999999996</v>
      </c>
      <c r="T14" s="49" t="s">
        <v>15</v>
      </c>
      <c r="U14" s="47" t="s">
        <v>20</v>
      </c>
    </row>
    <row r="15" spans="1:21" ht="17.25" hidden="1" x14ac:dyDescent="0.45">
      <c r="A15" s="44" t="s">
        <v>50</v>
      </c>
      <c r="B15" s="24" t="s">
        <v>27</v>
      </c>
      <c r="C15" s="39">
        <f>9000000</f>
        <v>9000000</v>
      </c>
      <c r="D15" s="39">
        <f t="shared" si="1"/>
        <v>9900000</v>
      </c>
      <c r="E15" s="25">
        <f t="shared" si="0"/>
        <v>198000000</v>
      </c>
      <c r="F15" s="46">
        <v>0.45</v>
      </c>
      <c r="G15" s="76">
        <f t="shared" si="2"/>
        <v>5445000</v>
      </c>
      <c r="H15" s="76">
        <f t="shared" si="3"/>
        <v>5400000</v>
      </c>
      <c r="I15" s="77">
        <f t="shared" si="4"/>
        <v>108000000</v>
      </c>
      <c r="J15" s="48">
        <f t="shared" si="5"/>
        <v>20</v>
      </c>
      <c r="K15" s="88"/>
      <c r="L15" s="99">
        <f t="shared" si="6"/>
        <v>0</v>
      </c>
      <c r="M15" s="84">
        <v>0.1</v>
      </c>
      <c r="N15" s="84">
        <v>0.15</v>
      </c>
      <c r="O15" s="84">
        <f t="shared" si="7"/>
        <v>0.25</v>
      </c>
      <c r="P15" s="93">
        <f t="shared" si="8"/>
        <v>0.75</v>
      </c>
      <c r="Q15" s="93">
        <v>0.1</v>
      </c>
      <c r="R15" s="93">
        <f t="shared" si="9"/>
        <v>0.65</v>
      </c>
      <c r="S15" s="96">
        <f t="shared" si="10"/>
        <v>70200000</v>
      </c>
      <c r="T15" s="49" t="s">
        <v>15</v>
      </c>
      <c r="U15" s="47" t="s">
        <v>20</v>
      </c>
    </row>
    <row r="16" spans="1:21" ht="18.75" customHeight="1" x14ac:dyDescent="0.45">
      <c r="A16" s="44" t="s">
        <v>23</v>
      </c>
      <c r="B16" s="24" t="s">
        <v>11</v>
      </c>
      <c r="C16" s="39">
        <v>9000000</v>
      </c>
      <c r="D16" s="39">
        <f t="shared" si="1"/>
        <v>9900000</v>
      </c>
      <c r="E16" s="25">
        <f t="shared" si="0"/>
        <v>198000000</v>
      </c>
      <c r="F16" s="46">
        <v>0.45</v>
      </c>
      <c r="G16" s="76">
        <f t="shared" si="2"/>
        <v>5445000</v>
      </c>
      <c r="H16" s="76">
        <f t="shared" si="3"/>
        <v>5400000</v>
      </c>
      <c r="I16" s="77">
        <f t="shared" si="4"/>
        <v>108000000</v>
      </c>
      <c r="J16" s="48">
        <f t="shared" si="5"/>
        <v>20</v>
      </c>
      <c r="K16" s="89">
        <v>0.38</v>
      </c>
      <c r="L16" s="99">
        <f t="shared" si="6"/>
        <v>41040000</v>
      </c>
      <c r="M16" s="84">
        <v>0.1</v>
      </c>
      <c r="N16" s="84">
        <v>0.15</v>
      </c>
      <c r="O16" s="84">
        <f t="shared" si="7"/>
        <v>0.63</v>
      </c>
      <c r="P16" s="93">
        <f t="shared" si="8"/>
        <v>0.37</v>
      </c>
      <c r="Q16" s="93">
        <v>0.1</v>
      </c>
      <c r="R16" s="93">
        <f t="shared" si="9"/>
        <v>0.27</v>
      </c>
      <c r="S16" s="96">
        <f t="shared" si="10"/>
        <v>29160000.000000004</v>
      </c>
      <c r="T16" s="49" t="s">
        <v>17</v>
      </c>
      <c r="U16" s="47" t="s">
        <v>54</v>
      </c>
    </row>
    <row r="17" spans="1:21" ht="17.25" x14ac:dyDescent="0.45">
      <c r="A17" s="44" t="s">
        <v>24</v>
      </c>
      <c r="B17" s="24" t="s">
        <v>11</v>
      </c>
      <c r="C17" s="39">
        <v>10000000</v>
      </c>
      <c r="D17" s="39">
        <f t="shared" si="1"/>
        <v>11000000</v>
      </c>
      <c r="E17" s="25">
        <f t="shared" si="0"/>
        <v>220000000</v>
      </c>
      <c r="F17" s="46">
        <v>0.45</v>
      </c>
      <c r="G17" s="76">
        <f t="shared" si="2"/>
        <v>6050000</v>
      </c>
      <c r="H17" s="76">
        <f t="shared" si="3"/>
        <v>6100000</v>
      </c>
      <c r="I17" s="77">
        <f t="shared" si="4"/>
        <v>122000000</v>
      </c>
      <c r="J17" s="48">
        <f t="shared" si="5"/>
        <v>20</v>
      </c>
      <c r="K17" s="89">
        <v>0.4</v>
      </c>
      <c r="L17" s="99">
        <f t="shared" si="6"/>
        <v>48800000</v>
      </c>
      <c r="M17" s="84">
        <v>0.1</v>
      </c>
      <c r="N17" s="84">
        <v>0.15</v>
      </c>
      <c r="O17" s="84">
        <f t="shared" si="7"/>
        <v>0.65</v>
      </c>
      <c r="P17" s="93">
        <f t="shared" si="8"/>
        <v>0.35</v>
      </c>
      <c r="Q17" s="93">
        <v>0.1</v>
      </c>
      <c r="R17" s="93">
        <f t="shared" si="9"/>
        <v>0.24999999999999997</v>
      </c>
      <c r="S17" s="96">
        <f t="shared" si="10"/>
        <v>30499999.999999996</v>
      </c>
      <c r="T17" s="49" t="s">
        <v>15</v>
      </c>
      <c r="U17" s="47" t="s">
        <v>51</v>
      </c>
    </row>
    <row r="18" spans="1:21" ht="17.25" x14ac:dyDescent="0.45">
      <c r="A18" s="44" t="s">
        <v>26</v>
      </c>
      <c r="B18" s="24" t="s">
        <v>27</v>
      </c>
      <c r="C18" s="39">
        <v>11500000</v>
      </c>
      <c r="D18" s="39">
        <f t="shared" si="1"/>
        <v>12650000</v>
      </c>
      <c r="E18" s="25">
        <f t="shared" si="0"/>
        <v>253000000</v>
      </c>
      <c r="F18" s="46">
        <v>0.45</v>
      </c>
      <c r="G18" s="76">
        <f t="shared" si="2"/>
        <v>6957500</v>
      </c>
      <c r="H18" s="76">
        <f t="shared" si="3"/>
        <v>7000000</v>
      </c>
      <c r="I18" s="77">
        <f t="shared" si="4"/>
        <v>140000000</v>
      </c>
      <c r="J18" s="48">
        <f t="shared" si="5"/>
        <v>20</v>
      </c>
      <c r="K18" s="89">
        <v>0.41</v>
      </c>
      <c r="L18" s="99">
        <f t="shared" si="6"/>
        <v>57400000</v>
      </c>
      <c r="M18" s="84">
        <v>0.1</v>
      </c>
      <c r="N18" s="84">
        <v>0.15</v>
      </c>
      <c r="O18" s="84">
        <f t="shared" si="7"/>
        <v>0.66</v>
      </c>
      <c r="P18" s="93">
        <f t="shared" si="8"/>
        <v>0.33999999999999997</v>
      </c>
      <c r="Q18" s="93">
        <v>0.1</v>
      </c>
      <c r="R18" s="93">
        <f t="shared" si="9"/>
        <v>0.23999999999999996</v>
      </c>
      <c r="S18" s="96">
        <f t="shared" si="10"/>
        <v>33599999.999999993</v>
      </c>
      <c r="T18" s="49" t="s">
        <v>28</v>
      </c>
      <c r="U18" s="47" t="s">
        <v>25</v>
      </c>
    </row>
    <row r="19" spans="1:21" ht="17.25" x14ac:dyDescent="0.45">
      <c r="A19" s="44" t="s">
        <v>29</v>
      </c>
      <c r="B19" s="24" t="s">
        <v>30</v>
      </c>
      <c r="C19" s="39">
        <v>12000000</v>
      </c>
      <c r="D19" s="39">
        <f t="shared" si="1"/>
        <v>13200000</v>
      </c>
      <c r="E19" s="25">
        <f t="shared" si="0"/>
        <v>264000000</v>
      </c>
      <c r="F19" s="46">
        <v>0.4</v>
      </c>
      <c r="G19" s="76">
        <f t="shared" si="2"/>
        <v>7920000</v>
      </c>
      <c r="H19" s="76">
        <f t="shared" si="3"/>
        <v>7900000</v>
      </c>
      <c r="I19" s="77">
        <f t="shared" si="4"/>
        <v>158000000</v>
      </c>
      <c r="J19" s="48">
        <f t="shared" si="5"/>
        <v>20</v>
      </c>
      <c r="K19" s="89">
        <v>0.46</v>
      </c>
      <c r="L19" s="99">
        <f t="shared" si="6"/>
        <v>72680000</v>
      </c>
      <c r="M19" s="84">
        <v>0.1</v>
      </c>
      <c r="N19" s="84">
        <v>0.15</v>
      </c>
      <c r="O19" s="84">
        <f t="shared" si="7"/>
        <v>0.71000000000000008</v>
      </c>
      <c r="P19" s="93">
        <f t="shared" si="8"/>
        <v>0.28999999999999992</v>
      </c>
      <c r="Q19" s="93">
        <v>0.1</v>
      </c>
      <c r="R19" s="93">
        <f t="shared" si="9"/>
        <v>0.18999999999999992</v>
      </c>
      <c r="S19" s="96">
        <f t="shared" si="10"/>
        <v>30019999.999999989</v>
      </c>
      <c r="T19" s="49" t="s">
        <v>31</v>
      </c>
      <c r="U19" s="47" t="s">
        <v>25</v>
      </c>
    </row>
    <row r="20" spans="1:21" ht="17.25" x14ac:dyDescent="0.45">
      <c r="A20" s="44" t="s">
        <v>32</v>
      </c>
      <c r="B20" s="24" t="s">
        <v>30</v>
      </c>
      <c r="C20" s="39">
        <v>14000000</v>
      </c>
      <c r="D20" s="39">
        <f t="shared" si="1"/>
        <v>15400000</v>
      </c>
      <c r="E20" s="25">
        <f t="shared" si="0"/>
        <v>308000000</v>
      </c>
      <c r="F20" s="46">
        <v>0.35</v>
      </c>
      <c r="G20" s="76">
        <f t="shared" si="2"/>
        <v>10010000</v>
      </c>
      <c r="H20" s="76">
        <f t="shared" si="3"/>
        <v>10000000</v>
      </c>
      <c r="I20" s="77">
        <f t="shared" si="4"/>
        <v>200000000</v>
      </c>
      <c r="J20" s="48">
        <f t="shared" si="5"/>
        <v>20</v>
      </c>
      <c r="K20" s="89">
        <v>0.39</v>
      </c>
      <c r="L20" s="99">
        <f t="shared" si="6"/>
        <v>78000000</v>
      </c>
      <c r="M20" s="84">
        <v>0.1</v>
      </c>
      <c r="N20" s="84">
        <v>0.15</v>
      </c>
      <c r="O20" s="84">
        <f t="shared" si="7"/>
        <v>0.64</v>
      </c>
      <c r="P20" s="93">
        <f t="shared" si="8"/>
        <v>0.36</v>
      </c>
      <c r="Q20" s="93">
        <v>0.1</v>
      </c>
      <c r="R20" s="93">
        <f t="shared" si="9"/>
        <v>0.26</v>
      </c>
      <c r="S20" s="96">
        <f t="shared" si="10"/>
        <v>52000000</v>
      </c>
      <c r="T20" s="49" t="s">
        <v>31</v>
      </c>
      <c r="U20" s="47" t="s">
        <v>33</v>
      </c>
    </row>
    <row r="21" spans="1:21" ht="17.25" x14ac:dyDescent="0.45">
      <c r="A21" s="44" t="s">
        <v>53</v>
      </c>
      <c r="B21" s="24" t="s">
        <v>30</v>
      </c>
      <c r="C21" s="39">
        <v>33000000</v>
      </c>
      <c r="D21" s="39">
        <f t="shared" si="1"/>
        <v>36300000</v>
      </c>
      <c r="E21" s="25">
        <f t="shared" si="0"/>
        <v>726000000</v>
      </c>
      <c r="F21" s="46">
        <v>0.32</v>
      </c>
      <c r="G21" s="76">
        <f t="shared" si="2"/>
        <v>24684000</v>
      </c>
      <c r="H21" s="76">
        <f t="shared" si="3"/>
        <v>24700000</v>
      </c>
      <c r="I21" s="77">
        <f t="shared" si="4"/>
        <v>494000000</v>
      </c>
      <c r="J21" s="48">
        <f t="shared" si="5"/>
        <v>20</v>
      </c>
      <c r="K21" s="89">
        <v>0.3</v>
      </c>
      <c r="L21" s="99">
        <f t="shared" si="6"/>
        <v>148200000</v>
      </c>
      <c r="M21" s="84">
        <v>0.1</v>
      </c>
      <c r="N21" s="84">
        <v>0.15</v>
      </c>
      <c r="O21" s="84">
        <f t="shared" si="7"/>
        <v>0.55000000000000004</v>
      </c>
      <c r="P21" s="93">
        <f t="shared" si="8"/>
        <v>0.44999999999999996</v>
      </c>
      <c r="Q21" s="93">
        <v>0.1</v>
      </c>
      <c r="R21" s="93">
        <f t="shared" si="9"/>
        <v>0.35</v>
      </c>
      <c r="S21" s="96">
        <f t="shared" si="10"/>
        <v>172900000</v>
      </c>
      <c r="T21" s="49" t="s">
        <v>31</v>
      </c>
      <c r="U21" s="47" t="s">
        <v>33</v>
      </c>
    </row>
    <row r="22" spans="1:21" ht="17.25" x14ac:dyDescent="0.45">
      <c r="A22" s="5"/>
      <c r="B22" s="5"/>
      <c r="C22" s="6"/>
      <c r="D22" s="67"/>
      <c r="E22" s="70"/>
      <c r="F22" s="3"/>
      <c r="G22" s="73"/>
      <c r="H22" s="76">
        <f t="shared" si="3"/>
        <v>0</v>
      </c>
      <c r="I22" s="77"/>
      <c r="J22" s="28"/>
      <c r="K22" s="28"/>
      <c r="L22" s="99"/>
      <c r="M22" s="28"/>
      <c r="N22" s="84"/>
      <c r="O22" s="84"/>
      <c r="P22" s="93"/>
      <c r="Q22" s="93"/>
      <c r="R22" s="93"/>
      <c r="S22" s="93"/>
      <c r="T22" s="4"/>
      <c r="U22" s="4"/>
    </row>
    <row r="23" spans="1:21" ht="17.25" x14ac:dyDescent="0.45">
      <c r="A23" s="50" t="s">
        <v>34</v>
      </c>
      <c r="B23" s="51" t="s">
        <v>11</v>
      </c>
      <c r="C23" s="50">
        <v>8000000</v>
      </c>
      <c r="D23" s="68">
        <f t="shared" si="1"/>
        <v>8800000</v>
      </c>
      <c r="E23" s="71">
        <f>D23*J23</f>
        <v>176000000</v>
      </c>
      <c r="F23" s="54">
        <v>0.3</v>
      </c>
      <c r="G23" s="74">
        <f t="shared" si="2"/>
        <v>6160000</v>
      </c>
      <c r="H23" s="78">
        <f t="shared" si="3"/>
        <v>6200000</v>
      </c>
      <c r="I23" s="79">
        <f t="shared" si="4"/>
        <v>124000000</v>
      </c>
      <c r="J23" s="57">
        <f>J7</f>
        <v>20</v>
      </c>
      <c r="K23" s="85">
        <v>0.37</v>
      </c>
      <c r="L23" s="100">
        <f t="shared" si="6"/>
        <v>45880000</v>
      </c>
      <c r="M23" s="90">
        <v>0.1</v>
      </c>
      <c r="N23" s="90">
        <v>0.15</v>
      </c>
      <c r="O23" s="90">
        <f t="shared" si="7"/>
        <v>0.62</v>
      </c>
      <c r="P23" s="94">
        <f t="shared" si="8"/>
        <v>0.38</v>
      </c>
      <c r="Q23" s="94"/>
      <c r="R23" s="94"/>
      <c r="S23" s="94"/>
      <c r="T23" s="50" t="s">
        <v>15</v>
      </c>
      <c r="U23" s="50" t="s">
        <v>52</v>
      </c>
    </row>
    <row r="24" spans="1:21" ht="17.25" x14ac:dyDescent="0.45">
      <c r="A24" s="50" t="s">
        <v>36</v>
      </c>
      <c r="B24" s="51" t="s">
        <v>37</v>
      </c>
      <c r="C24" s="50">
        <v>10000000</v>
      </c>
      <c r="D24" s="68">
        <f t="shared" si="1"/>
        <v>11000000</v>
      </c>
      <c r="E24" s="71">
        <f>D24*J24</f>
        <v>220000000</v>
      </c>
      <c r="F24" s="54">
        <v>0.3</v>
      </c>
      <c r="G24" s="74">
        <f t="shared" si="2"/>
        <v>7700000</v>
      </c>
      <c r="H24" s="78">
        <f t="shared" si="3"/>
        <v>7700000</v>
      </c>
      <c r="I24" s="79">
        <f t="shared" si="4"/>
        <v>154000000</v>
      </c>
      <c r="J24" s="57">
        <f t="shared" ref="J24:J25" si="11">J8</f>
        <v>20</v>
      </c>
      <c r="K24" s="85">
        <v>0.32</v>
      </c>
      <c r="L24" s="100">
        <f t="shared" si="6"/>
        <v>49280000</v>
      </c>
      <c r="M24" s="90">
        <v>0.1</v>
      </c>
      <c r="N24" s="90">
        <v>0.15</v>
      </c>
      <c r="O24" s="90">
        <f t="shared" si="7"/>
        <v>0.57000000000000006</v>
      </c>
      <c r="P24" s="94">
        <f t="shared" si="8"/>
        <v>0.42999999999999994</v>
      </c>
      <c r="Q24" s="94"/>
      <c r="R24" s="94"/>
      <c r="S24" s="94"/>
      <c r="T24" s="50" t="s">
        <v>15</v>
      </c>
      <c r="U24" s="50" t="s">
        <v>35</v>
      </c>
    </row>
    <row r="25" spans="1:21" ht="17.25" x14ac:dyDescent="0.45">
      <c r="A25" s="50" t="s">
        <v>56</v>
      </c>
      <c r="B25" s="51" t="s">
        <v>11</v>
      </c>
      <c r="C25" s="50">
        <v>15000000</v>
      </c>
      <c r="D25" s="68">
        <f t="shared" si="1"/>
        <v>16500000</v>
      </c>
      <c r="E25" s="71">
        <f>D25*J25</f>
        <v>330000000</v>
      </c>
      <c r="F25" s="54">
        <v>0.3</v>
      </c>
      <c r="G25" s="74">
        <f t="shared" si="2"/>
        <v>11550000</v>
      </c>
      <c r="H25" s="78">
        <f t="shared" si="3"/>
        <v>11600000</v>
      </c>
      <c r="I25" s="79">
        <f t="shared" si="4"/>
        <v>232000000</v>
      </c>
      <c r="J25" s="57">
        <f t="shared" si="11"/>
        <v>20</v>
      </c>
      <c r="K25" s="85">
        <v>0.25</v>
      </c>
      <c r="L25" s="100">
        <f t="shared" si="6"/>
        <v>58000000</v>
      </c>
      <c r="M25" s="90">
        <v>0.1</v>
      </c>
      <c r="N25" s="90">
        <v>0.15</v>
      </c>
      <c r="O25" s="90">
        <f t="shared" si="7"/>
        <v>0.5</v>
      </c>
      <c r="P25" s="94">
        <f t="shared" si="8"/>
        <v>0.5</v>
      </c>
      <c r="Q25" s="94"/>
      <c r="R25" s="94"/>
      <c r="S25" s="94"/>
      <c r="T25" s="50" t="s">
        <v>15</v>
      </c>
      <c r="U25" s="50" t="s">
        <v>35</v>
      </c>
    </row>
    <row r="26" spans="1:21" x14ac:dyDescent="0.4">
      <c r="E26" s="70"/>
    </row>
    <row r="67" spans="1:1" x14ac:dyDescent="0.4">
      <c r="A67" s="7" t="s">
        <v>42</v>
      </c>
    </row>
    <row r="68" spans="1:1" x14ac:dyDescent="0.4">
      <c r="A68" s="1" t="s">
        <v>43</v>
      </c>
    </row>
    <row r="69" spans="1:1" x14ac:dyDescent="0.4">
      <c r="A69" s="1" t="s">
        <v>44</v>
      </c>
    </row>
  </sheetData>
  <mergeCells count="1">
    <mergeCell ref="A6:J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U69"/>
  <sheetViews>
    <sheetView showGridLines="0" workbookViewId="0">
      <selection activeCell="S8" sqref="S8:S21"/>
    </sheetView>
  </sheetViews>
  <sheetFormatPr defaultColWidth="8.75" defaultRowHeight="13.9" x14ac:dyDescent="0.4"/>
  <cols>
    <col min="1" max="1" width="27" style="1" customWidth="1"/>
    <col min="2" max="2" width="9.5" style="1" customWidth="1"/>
    <col min="3" max="4" width="17.75" style="1" hidden="1" customWidth="1"/>
    <col min="5" max="5" width="17.25" style="1" hidden="1" customWidth="1"/>
    <col min="6" max="6" width="0" style="7" hidden="1" customWidth="1"/>
    <col min="7" max="8" width="16.125" style="1" hidden="1" customWidth="1"/>
    <col min="9" max="9" width="20.5" style="7" customWidth="1"/>
    <col min="10" max="18" width="11.25" style="1" customWidth="1"/>
    <col min="19" max="20" width="17.125" style="1" customWidth="1"/>
    <col min="21" max="21" width="37.5" style="1" customWidth="1"/>
    <col min="22" max="16384" width="8.75" style="1"/>
  </cols>
  <sheetData>
    <row r="6" spans="1:21" ht="15" x14ac:dyDescent="0.4">
      <c r="A6" s="105" t="s">
        <v>0</v>
      </c>
      <c r="B6" s="105"/>
      <c r="C6" s="105"/>
      <c r="D6" s="105"/>
      <c r="E6" s="105"/>
      <c r="F6" s="105"/>
      <c r="G6" s="105"/>
      <c r="H6" s="105"/>
      <c r="I6" s="105"/>
      <c r="J6" s="105"/>
      <c r="K6" s="80"/>
      <c r="L6" s="80"/>
      <c r="M6" s="80"/>
      <c r="N6" s="80"/>
      <c r="O6" s="80"/>
      <c r="P6" s="80"/>
      <c r="Q6" s="80"/>
      <c r="R6" s="80"/>
      <c r="S6" s="80"/>
    </row>
    <row r="7" spans="1:21" x14ac:dyDescent="0.4">
      <c r="A7" s="20" t="s">
        <v>1</v>
      </c>
      <c r="B7" s="20" t="s">
        <v>2</v>
      </c>
      <c r="C7" s="21" t="s">
        <v>3</v>
      </c>
      <c r="D7" s="21" t="s">
        <v>3</v>
      </c>
      <c r="E7" s="21" t="s">
        <v>4</v>
      </c>
      <c r="F7" s="22" t="s">
        <v>5</v>
      </c>
      <c r="G7" s="23" t="s">
        <v>6</v>
      </c>
      <c r="H7" s="23" t="s">
        <v>6</v>
      </c>
      <c r="I7" s="21" t="s">
        <v>7</v>
      </c>
      <c r="J7" s="20">
        <v>16</v>
      </c>
      <c r="K7" s="81" t="s">
        <v>60</v>
      </c>
      <c r="L7" s="81" t="s">
        <v>67</v>
      </c>
      <c r="M7" s="81" t="s">
        <v>58</v>
      </c>
      <c r="N7" s="81" t="s">
        <v>62</v>
      </c>
      <c r="O7" s="81" t="s">
        <v>63</v>
      </c>
      <c r="P7" s="81" t="s">
        <v>64</v>
      </c>
      <c r="Q7" s="81" t="s">
        <v>9</v>
      </c>
      <c r="R7" s="81" t="s">
        <v>65</v>
      </c>
      <c r="S7" s="81" t="s">
        <v>68</v>
      </c>
      <c r="T7" s="12" t="s">
        <v>8</v>
      </c>
      <c r="U7" s="2" t="s">
        <v>9</v>
      </c>
    </row>
    <row r="8" spans="1:21" ht="17.25" x14ac:dyDescent="0.45">
      <c r="A8" s="44" t="s">
        <v>10</v>
      </c>
      <c r="B8" s="24" t="s">
        <v>11</v>
      </c>
      <c r="C8" s="39">
        <v>2500000</v>
      </c>
      <c r="D8" s="39">
        <f>C8+(C8*10%)</f>
        <v>2750000</v>
      </c>
      <c r="E8" s="25">
        <f>D8*J8</f>
        <v>44000000</v>
      </c>
      <c r="F8" s="40">
        <v>0.4</v>
      </c>
      <c r="G8" s="41">
        <f>D8-(D8*F8)</f>
        <v>1650000</v>
      </c>
      <c r="H8" s="41">
        <f>ROUND(VALUE(G8), -5)</f>
        <v>1700000</v>
      </c>
      <c r="I8" s="42">
        <f>H8*J8</f>
        <v>27200000</v>
      </c>
      <c r="J8" s="28">
        <f>J7</f>
        <v>16</v>
      </c>
      <c r="K8" s="84">
        <v>0.72</v>
      </c>
      <c r="L8" s="97">
        <f>I8*K8</f>
        <v>19584000</v>
      </c>
      <c r="M8" s="84">
        <v>0.1</v>
      </c>
      <c r="N8" s="84">
        <v>0.15</v>
      </c>
      <c r="O8" s="84">
        <f>K8+M8+N8</f>
        <v>0.97</v>
      </c>
      <c r="P8" s="93">
        <f>100%-O8</f>
        <v>3.0000000000000027E-2</v>
      </c>
      <c r="Q8" s="93"/>
      <c r="R8" s="93">
        <f>P8-Q8</f>
        <v>3.0000000000000027E-2</v>
      </c>
      <c r="S8" s="96">
        <f>I8*R8</f>
        <v>816000.0000000007</v>
      </c>
      <c r="T8" s="58" t="s">
        <v>12</v>
      </c>
      <c r="U8" s="47" t="s">
        <v>13</v>
      </c>
    </row>
    <row r="9" spans="1:21" ht="17.25" x14ac:dyDescent="0.45">
      <c r="A9" s="45" t="s">
        <v>14</v>
      </c>
      <c r="B9" s="29" t="s">
        <v>11</v>
      </c>
      <c r="C9" s="43">
        <v>3500000</v>
      </c>
      <c r="D9" s="39">
        <f t="shared" ref="D9:D25" si="0">C9+(C9*10%)</f>
        <v>3850000</v>
      </c>
      <c r="E9" s="25">
        <f t="shared" ref="E9:E26" si="1">D9*J9</f>
        <v>61600000</v>
      </c>
      <c r="F9" s="40">
        <v>0.4</v>
      </c>
      <c r="G9" s="41">
        <f t="shared" ref="G9:G25" si="2">D9-(D9*F9)</f>
        <v>2310000</v>
      </c>
      <c r="H9" s="41">
        <f t="shared" ref="H9:H25" si="3">ROUND(VALUE(G9), -5)</f>
        <v>2300000</v>
      </c>
      <c r="I9" s="42">
        <f t="shared" ref="I9:I25" si="4">H9*J9</f>
        <v>36800000</v>
      </c>
      <c r="J9" s="28">
        <f>J8</f>
        <v>16</v>
      </c>
      <c r="K9" s="84">
        <v>0.65</v>
      </c>
      <c r="L9" s="97">
        <f t="shared" ref="L9:L25" si="5">I9*K9</f>
        <v>23920000</v>
      </c>
      <c r="M9" s="84">
        <v>0.1</v>
      </c>
      <c r="N9" s="84">
        <v>0.15</v>
      </c>
      <c r="O9" s="84">
        <f t="shared" ref="O9:O25" si="6">K9+M9+N9</f>
        <v>0.9</v>
      </c>
      <c r="P9" s="93">
        <f t="shared" ref="P9:P25" si="7">100%-O9</f>
        <v>9.9999999999999978E-2</v>
      </c>
      <c r="Q9" s="93"/>
      <c r="R9" s="93">
        <f t="shared" ref="R9:R21" si="8">P9-Q9</f>
        <v>9.9999999999999978E-2</v>
      </c>
      <c r="S9" s="96">
        <f t="shared" ref="S9:S21" si="9">I9*R9</f>
        <v>3679999.9999999991</v>
      </c>
      <c r="T9" s="58" t="s">
        <v>15</v>
      </c>
      <c r="U9" s="47" t="s">
        <v>13</v>
      </c>
    </row>
    <row r="10" spans="1:21" ht="17.25" x14ac:dyDescent="0.45">
      <c r="A10" s="45" t="s">
        <v>16</v>
      </c>
      <c r="B10" s="29" t="s">
        <v>11</v>
      </c>
      <c r="C10" s="43">
        <v>4000000</v>
      </c>
      <c r="D10" s="39">
        <f t="shared" si="0"/>
        <v>4400000</v>
      </c>
      <c r="E10" s="25">
        <f t="shared" si="1"/>
        <v>70400000</v>
      </c>
      <c r="F10" s="40">
        <v>0.37</v>
      </c>
      <c r="G10" s="41">
        <f t="shared" si="2"/>
        <v>2772000</v>
      </c>
      <c r="H10" s="41">
        <f t="shared" si="3"/>
        <v>2800000</v>
      </c>
      <c r="I10" s="42">
        <f t="shared" si="4"/>
        <v>44800000</v>
      </c>
      <c r="J10" s="28">
        <f t="shared" ref="J10:J21" si="10">J8</f>
        <v>16</v>
      </c>
      <c r="K10" s="84">
        <v>0.63</v>
      </c>
      <c r="L10" s="97">
        <f t="shared" si="5"/>
        <v>28224000</v>
      </c>
      <c r="M10" s="84">
        <v>0.1</v>
      </c>
      <c r="N10" s="84">
        <v>0.15</v>
      </c>
      <c r="O10" s="84">
        <f t="shared" si="6"/>
        <v>0.88</v>
      </c>
      <c r="P10" s="93">
        <f t="shared" si="7"/>
        <v>0.12</v>
      </c>
      <c r="Q10" s="93"/>
      <c r="R10" s="93">
        <f t="shared" si="8"/>
        <v>0.12</v>
      </c>
      <c r="S10" s="96">
        <f t="shared" si="9"/>
        <v>5376000</v>
      </c>
      <c r="T10" s="58" t="s">
        <v>17</v>
      </c>
      <c r="U10" s="47" t="s">
        <v>18</v>
      </c>
    </row>
    <row r="11" spans="1:21" ht="17.25" x14ac:dyDescent="0.45">
      <c r="A11" s="45" t="s">
        <v>48</v>
      </c>
      <c r="B11" s="29" t="s">
        <v>27</v>
      </c>
      <c r="C11" s="43">
        <v>6000000</v>
      </c>
      <c r="D11" s="39">
        <f t="shared" si="0"/>
        <v>6600000</v>
      </c>
      <c r="E11" s="25">
        <f t="shared" si="1"/>
        <v>105600000</v>
      </c>
      <c r="F11" s="40">
        <v>0.45</v>
      </c>
      <c r="G11" s="41">
        <f t="shared" si="2"/>
        <v>3630000</v>
      </c>
      <c r="H11" s="41">
        <f t="shared" si="3"/>
        <v>3600000</v>
      </c>
      <c r="I11" s="42">
        <f t="shared" si="4"/>
        <v>57600000</v>
      </c>
      <c r="J11" s="28">
        <v>16</v>
      </c>
      <c r="K11" s="84">
        <v>0.55000000000000004</v>
      </c>
      <c r="L11" s="97">
        <f t="shared" si="5"/>
        <v>31680000.000000004</v>
      </c>
      <c r="M11" s="84">
        <v>0.1</v>
      </c>
      <c r="N11" s="84">
        <v>0.15</v>
      </c>
      <c r="O11" s="84">
        <f t="shared" si="6"/>
        <v>0.8</v>
      </c>
      <c r="P11" s="93">
        <f t="shared" si="7"/>
        <v>0.19999999999999996</v>
      </c>
      <c r="Q11" s="93"/>
      <c r="R11" s="93">
        <f t="shared" si="8"/>
        <v>0.19999999999999996</v>
      </c>
      <c r="S11" s="96">
        <f t="shared" si="9"/>
        <v>11519999.999999998</v>
      </c>
      <c r="T11" s="58" t="s">
        <v>15</v>
      </c>
      <c r="U11" s="47" t="s">
        <v>49</v>
      </c>
    </row>
    <row r="12" spans="1:21" ht="17.25" hidden="1" x14ac:dyDescent="0.45">
      <c r="A12" s="45" t="s">
        <v>19</v>
      </c>
      <c r="B12" s="29" t="s">
        <v>11</v>
      </c>
      <c r="C12" s="43">
        <v>6000000</v>
      </c>
      <c r="D12" s="39">
        <f t="shared" si="0"/>
        <v>6600000</v>
      </c>
      <c r="E12" s="25">
        <f t="shared" si="1"/>
        <v>105600000</v>
      </c>
      <c r="F12" s="40">
        <v>0.45</v>
      </c>
      <c r="G12" s="41">
        <f t="shared" si="2"/>
        <v>3630000</v>
      </c>
      <c r="H12" s="41">
        <f t="shared" si="3"/>
        <v>3600000</v>
      </c>
      <c r="I12" s="42">
        <f t="shared" si="4"/>
        <v>57600000</v>
      </c>
      <c r="J12" s="28">
        <f>J9</f>
        <v>16</v>
      </c>
      <c r="K12" s="82"/>
      <c r="L12" s="97">
        <f t="shared" si="5"/>
        <v>0</v>
      </c>
      <c r="M12" s="84">
        <v>0.1</v>
      </c>
      <c r="N12" s="84">
        <v>0.15</v>
      </c>
      <c r="O12" s="84">
        <f t="shared" si="6"/>
        <v>0.25</v>
      </c>
      <c r="P12" s="93">
        <f t="shared" si="7"/>
        <v>0.75</v>
      </c>
      <c r="Q12" s="93"/>
      <c r="R12" s="93">
        <f t="shared" si="8"/>
        <v>0.75</v>
      </c>
      <c r="S12" s="96">
        <f t="shared" si="9"/>
        <v>43200000</v>
      </c>
      <c r="T12" s="58" t="s">
        <v>17</v>
      </c>
      <c r="U12" s="47" t="s">
        <v>20</v>
      </c>
    </row>
    <row r="13" spans="1:21" ht="17.25" x14ac:dyDescent="0.45">
      <c r="A13" s="45" t="s">
        <v>21</v>
      </c>
      <c r="B13" s="29" t="s">
        <v>11</v>
      </c>
      <c r="C13" s="43">
        <v>7500000</v>
      </c>
      <c r="D13" s="39">
        <f t="shared" si="0"/>
        <v>8250000</v>
      </c>
      <c r="E13" s="25">
        <f t="shared" si="1"/>
        <v>132000000</v>
      </c>
      <c r="F13" s="40">
        <v>0.45</v>
      </c>
      <c r="G13" s="41">
        <f t="shared" si="2"/>
        <v>4537500</v>
      </c>
      <c r="H13" s="41">
        <f t="shared" si="3"/>
        <v>4500000</v>
      </c>
      <c r="I13" s="42">
        <f t="shared" si="4"/>
        <v>72000000</v>
      </c>
      <c r="J13" s="28">
        <f>J10</f>
        <v>16</v>
      </c>
      <c r="K13" s="84">
        <v>0.44</v>
      </c>
      <c r="L13" s="97">
        <f t="shared" si="5"/>
        <v>31680000</v>
      </c>
      <c r="M13" s="84">
        <v>0.1</v>
      </c>
      <c r="N13" s="84">
        <v>0.15</v>
      </c>
      <c r="O13" s="84">
        <f t="shared" si="6"/>
        <v>0.69000000000000006</v>
      </c>
      <c r="P13" s="93">
        <f t="shared" si="7"/>
        <v>0.30999999999999994</v>
      </c>
      <c r="Q13" s="93">
        <v>0.1</v>
      </c>
      <c r="R13" s="93">
        <f t="shared" si="8"/>
        <v>0.20999999999999994</v>
      </c>
      <c r="S13" s="96">
        <f t="shared" si="9"/>
        <v>15119999.999999996</v>
      </c>
      <c r="T13" s="58" t="s">
        <v>15</v>
      </c>
      <c r="U13" s="47" t="s">
        <v>18</v>
      </c>
    </row>
    <row r="14" spans="1:21" ht="17.25" x14ac:dyDescent="0.45">
      <c r="A14" s="45" t="s">
        <v>22</v>
      </c>
      <c r="B14" s="29" t="s">
        <v>11</v>
      </c>
      <c r="C14" s="43">
        <v>8500000</v>
      </c>
      <c r="D14" s="39">
        <f t="shared" si="0"/>
        <v>9350000</v>
      </c>
      <c r="E14" s="25">
        <f t="shared" si="1"/>
        <v>149600000</v>
      </c>
      <c r="F14" s="40">
        <v>0.45</v>
      </c>
      <c r="G14" s="41">
        <f t="shared" si="2"/>
        <v>5142500</v>
      </c>
      <c r="H14" s="41">
        <f t="shared" si="3"/>
        <v>5100000</v>
      </c>
      <c r="I14" s="42">
        <f t="shared" si="4"/>
        <v>81600000</v>
      </c>
      <c r="J14" s="28">
        <f t="shared" si="10"/>
        <v>16</v>
      </c>
      <c r="K14" s="84">
        <v>0.42</v>
      </c>
      <c r="L14" s="97">
        <f t="shared" si="5"/>
        <v>34272000</v>
      </c>
      <c r="M14" s="84">
        <v>0.1</v>
      </c>
      <c r="N14" s="84">
        <v>0.15</v>
      </c>
      <c r="O14" s="84">
        <f t="shared" si="6"/>
        <v>0.67</v>
      </c>
      <c r="P14" s="93">
        <f t="shared" si="7"/>
        <v>0.32999999999999996</v>
      </c>
      <c r="Q14" s="93">
        <v>0.1</v>
      </c>
      <c r="R14" s="93">
        <f t="shared" si="8"/>
        <v>0.22999999999999995</v>
      </c>
      <c r="S14" s="96">
        <f t="shared" si="9"/>
        <v>18767999.999999996</v>
      </c>
      <c r="T14" s="58" t="s">
        <v>15</v>
      </c>
      <c r="U14" s="47" t="s">
        <v>20</v>
      </c>
    </row>
    <row r="15" spans="1:21" ht="17.25" hidden="1" x14ac:dyDescent="0.45">
      <c r="A15" s="45" t="s">
        <v>50</v>
      </c>
      <c r="B15" s="29" t="s">
        <v>27</v>
      </c>
      <c r="C15" s="43">
        <f>9000000</f>
        <v>9000000</v>
      </c>
      <c r="D15" s="39">
        <f t="shared" si="0"/>
        <v>9900000</v>
      </c>
      <c r="E15" s="25">
        <f t="shared" si="1"/>
        <v>158400000</v>
      </c>
      <c r="F15" s="40">
        <v>0.45</v>
      </c>
      <c r="G15" s="41">
        <f t="shared" si="2"/>
        <v>5445000</v>
      </c>
      <c r="H15" s="41">
        <f t="shared" si="3"/>
        <v>5400000</v>
      </c>
      <c r="I15" s="42">
        <f t="shared" si="4"/>
        <v>86400000</v>
      </c>
      <c r="J15" s="28">
        <v>16</v>
      </c>
      <c r="K15" s="82"/>
      <c r="L15" s="97">
        <f t="shared" si="5"/>
        <v>0</v>
      </c>
      <c r="M15" s="84">
        <v>0.1</v>
      </c>
      <c r="N15" s="84">
        <v>0.15</v>
      </c>
      <c r="O15" s="84">
        <f t="shared" si="6"/>
        <v>0.25</v>
      </c>
      <c r="P15" s="93">
        <f t="shared" si="7"/>
        <v>0.75</v>
      </c>
      <c r="Q15" s="93">
        <v>0.1</v>
      </c>
      <c r="R15" s="93">
        <f t="shared" si="8"/>
        <v>0.65</v>
      </c>
      <c r="S15" s="96">
        <f t="shared" si="9"/>
        <v>56160000</v>
      </c>
      <c r="T15" s="58" t="s">
        <v>15</v>
      </c>
      <c r="U15" s="47" t="s">
        <v>20</v>
      </c>
    </row>
    <row r="16" spans="1:21" ht="18.75" customHeight="1" x14ac:dyDescent="0.45">
      <c r="A16" s="45" t="s">
        <v>23</v>
      </c>
      <c r="B16" s="29" t="s">
        <v>11</v>
      </c>
      <c r="C16" s="43">
        <v>9000000</v>
      </c>
      <c r="D16" s="39">
        <f t="shared" si="0"/>
        <v>9900000</v>
      </c>
      <c r="E16" s="25">
        <f t="shared" si="1"/>
        <v>158400000</v>
      </c>
      <c r="F16" s="40">
        <v>0.45</v>
      </c>
      <c r="G16" s="41">
        <f t="shared" si="2"/>
        <v>5445000</v>
      </c>
      <c r="H16" s="41">
        <f t="shared" si="3"/>
        <v>5400000</v>
      </c>
      <c r="I16" s="42">
        <f t="shared" si="4"/>
        <v>86400000</v>
      </c>
      <c r="J16" s="28">
        <f>J13</f>
        <v>16</v>
      </c>
      <c r="K16" s="84">
        <v>0.39</v>
      </c>
      <c r="L16" s="97">
        <f t="shared" si="5"/>
        <v>33696000</v>
      </c>
      <c r="M16" s="84">
        <v>0.1</v>
      </c>
      <c r="N16" s="84">
        <v>0.15</v>
      </c>
      <c r="O16" s="84">
        <f t="shared" si="6"/>
        <v>0.64</v>
      </c>
      <c r="P16" s="93">
        <f t="shared" si="7"/>
        <v>0.36</v>
      </c>
      <c r="Q16" s="93">
        <v>0.1</v>
      </c>
      <c r="R16" s="93">
        <f t="shared" si="8"/>
        <v>0.26</v>
      </c>
      <c r="S16" s="96">
        <f t="shared" si="9"/>
        <v>22464000</v>
      </c>
      <c r="T16" s="58" t="s">
        <v>17</v>
      </c>
      <c r="U16" s="47" t="s">
        <v>54</v>
      </c>
    </row>
    <row r="17" spans="1:21" ht="17.25" x14ac:dyDescent="0.45">
      <c r="A17" s="45" t="s">
        <v>24</v>
      </c>
      <c r="B17" s="29" t="s">
        <v>11</v>
      </c>
      <c r="C17" s="43">
        <v>10000000</v>
      </c>
      <c r="D17" s="39">
        <f t="shared" si="0"/>
        <v>11000000</v>
      </c>
      <c r="E17" s="25">
        <f t="shared" si="1"/>
        <v>176000000</v>
      </c>
      <c r="F17" s="40">
        <v>0.45</v>
      </c>
      <c r="G17" s="41">
        <f t="shared" si="2"/>
        <v>6050000</v>
      </c>
      <c r="H17" s="41">
        <f t="shared" si="3"/>
        <v>6100000</v>
      </c>
      <c r="I17" s="42">
        <f t="shared" si="4"/>
        <v>97600000</v>
      </c>
      <c r="J17" s="28">
        <f>J14</f>
        <v>16</v>
      </c>
      <c r="K17" s="84">
        <v>0.41</v>
      </c>
      <c r="L17" s="97">
        <f t="shared" si="5"/>
        <v>40016000</v>
      </c>
      <c r="M17" s="84">
        <v>0.1</v>
      </c>
      <c r="N17" s="84">
        <v>0.15</v>
      </c>
      <c r="O17" s="84">
        <f t="shared" si="6"/>
        <v>0.66</v>
      </c>
      <c r="P17" s="93">
        <f t="shared" si="7"/>
        <v>0.33999999999999997</v>
      </c>
      <c r="Q17" s="93">
        <v>0.1</v>
      </c>
      <c r="R17" s="93">
        <f t="shared" si="8"/>
        <v>0.23999999999999996</v>
      </c>
      <c r="S17" s="96">
        <f t="shared" si="9"/>
        <v>23423999.999999996</v>
      </c>
      <c r="T17" s="58" t="s">
        <v>15</v>
      </c>
      <c r="U17" s="47" t="s">
        <v>51</v>
      </c>
    </row>
    <row r="18" spans="1:21" ht="17.25" x14ac:dyDescent="0.45">
      <c r="A18" s="45" t="s">
        <v>26</v>
      </c>
      <c r="B18" s="29" t="s">
        <v>27</v>
      </c>
      <c r="C18" s="43">
        <v>11500000</v>
      </c>
      <c r="D18" s="39">
        <f t="shared" si="0"/>
        <v>12650000</v>
      </c>
      <c r="E18" s="25">
        <f t="shared" si="1"/>
        <v>202400000</v>
      </c>
      <c r="F18" s="40">
        <v>0.45</v>
      </c>
      <c r="G18" s="41">
        <f t="shared" si="2"/>
        <v>6957500</v>
      </c>
      <c r="H18" s="41">
        <f t="shared" si="3"/>
        <v>7000000</v>
      </c>
      <c r="I18" s="42">
        <f t="shared" si="4"/>
        <v>112000000</v>
      </c>
      <c r="J18" s="28">
        <f t="shared" si="10"/>
        <v>16</v>
      </c>
      <c r="K18" s="84">
        <v>0.41</v>
      </c>
      <c r="L18" s="97">
        <f t="shared" si="5"/>
        <v>45920000</v>
      </c>
      <c r="M18" s="84">
        <v>0.1</v>
      </c>
      <c r="N18" s="84">
        <v>0.15</v>
      </c>
      <c r="O18" s="84">
        <f t="shared" si="6"/>
        <v>0.66</v>
      </c>
      <c r="P18" s="93">
        <f t="shared" si="7"/>
        <v>0.33999999999999997</v>
      </c>
      <c r="Q18" s="93">
        <v>0.1</v>
      </c>
      <c r="R18" s="93">
        <f t="shared" si="8"/>
        <v>0.23999999999999996</v>
      </c>
      <c r="S18" s="96">
        <f t="shared" si="9"/>
        <v>26879999.999999996</v>
      </c>
      <c r="T18" s="58" t="s">
        <v>28</v>
      </c>
      <c r="U18" s="47" t="s">
        <v>25</v>
      </c>
    </row>
    <row r="19" spans="1:21" ht="17.25" x14ac:dyDescent="0.45">
      <c r="A19" s="45" t="s">
        <v>29</v>
      </c>
      <c r="B19" s="29" t="s">
        <v>30</v>
      </c>
      <c r="C19" s="43">
        <v>12000000</v>
      </c>
      <c r="D19" s="39">
        <f t="shared" si="0"/>
        <v>13200000</v>
      </c>
      <c r="E19" s="25">
        <f t="shared" si="1"/>
        <v>211200000</v>
      </c>
      <c r="F19" s="40">
        <v>0.4</v>
      </c>
      <c r="G19" s="41">
        <f t="shared" si="2"/>
        <v>7920000</v>
      </c>
      <c r="H19" s="41">
        <f t="shared" si="3"/>
        <v>7900000</v>
      </c>
      <c r="I19" s="42">
        <f t="shared" si="4"/>
        <v>126400000</v>
      </c>
      <c r="J19" s="28">
        <f t="shared" si="10"/>
        <v>16</v>
      </c>
      <c r="K19" s="84">
        <v>0.47</v>
      </c>
      <c r="L19" s="97">
        <f t="shared" si="5"/>
        <v>59408000</v>
      </c>
      <c r="M19" s="84">
        <v>0.1</v>
      </c>
      <c r="N19" s="84">
        <v>0.15</v>
      </c>
      <c r="O19" s="84">
        <f t="shared" si="6"/>
        <v>0.72</v>
      </c>
      <c r="P19" s="93">
        <f t="shared" si="7"/>
        <v>0.28000000000000003</v>
      </c>
      <c r="Q19" s="93">
        <v>0.1</v>
      </c>
      <c r="R19" s="93">
        <f t="shared" si="8"/>
        <v>0.18000000000000002</v>
      </c>
      <c r="S19" s="96">
        <f t="shared" si="9"/>
        <v>22752000.000000004</v>
      </c>
      <c r="T19" s="58" t="s">
        <v>31</v>
      </c>
      <c r="U19" s="47" t="s">
        <v>25</v>
      </c>
    </row>
    <row r="20" spans="1:21" ht="17.25" x14ac:dyDescent="0.45">
      <c r="A20" s="45" t="s">
        <v>32</v>
      </c>
      <c r="B20" s="29" t="s">
        <v>30</v>
      </c>
      <c r="C20" s="43">
        <v>14000000</v>
      </c>
      <c r="D20" s="39">
        <f t="shared" si="0"/>
        <v>15400000</v>
      </c>
      <c r="E20" s="25">
        <f t="shared" si="1"/>
        <v>246400000</v>
      </c>
      <c r="F20" s="40">
        <v>0.35</v>
      </c>
      <c r="G20" s="41">
        <f t="shared" si="2"/>
        <v>10010000</v>
      </c>
      <c r="H20" s="41">
        <f t="shared" si="3"/>
        <v>10000000</v>
      </c>
      <c r="I20" s="42">
        <f t="shared" si="4"/>
        <v>160000000</v>
      </c>
      <c r="J20" s="28">
        <f t="shared" si="10"/>
        <v>16</v>
      </c>
      <c r="K20" s="84">
        <v>0.4</v>
      </c>
      <c r="L20" s="97">
        <f t="shared" si="5"/>
        <v>64000000</v>
      </c>
      <c r="M20" s="84">
        <v>0.1</v>
      </c>
      <c r="N20" s="84">
        <v>0.15</v>
      </c>
      <c r="O20" s="84">
        <f t="shared" si="6"/>
        <v>0.65</v>
      </c>
      <c r="P20" s="93">
        <f t="shared" si="7"/>
        <v>0.35</v>
      </c>
      <c r="Q20" s="93">
        <v>0.1</v>
      </c>
      <c r="R20" s="93">
        <f t="shared" si="8"/>
        <v>0.24999999999999997</v>
      </c>
      <c r="S20" s="96">
        <f t="shared" si="9"/>
        <v>39999999.999999993</v>
      </c>
      <c r="T20" s="58" t="s">
        <v>31</v>
      </c>
      <c r="U20" s="47" t="s">
        <v>33</v>
      </c>
    </row>
    <row r="21" spans="1:21" ht="17.25" x14ac:dyDescent="0.45">
      <c r="A21" s="45" t="s">
        <v>53</v>
      </c>
      <c r="B21" s="29" t="s">
        <v>30</v>
      </c>
      <c r="C21" s="43">
        <v>33000000</v>
      </c>
      <c r="D21" s="39">
        <f>C21+(C21*10%)</f>
        <v>36300000</v>
      </c>
      <c r="E21" s="25">
        <f t="shared" si="1"/>
        <v>580800000</v>
      </c>
      <c r="F21" s="40">
        <v>0.32</v>
      </c>
      <c r="G21" s="41">
        <f t="shared" si="2"/>
        <v>24684000</v>
      </c>
      <c r="H21" s="41">
        <f t="shared" si="3"/>
        <v>24700000</v>
      </c>
      <c r="I21" s="42">
        <f t="shared" si="4"/>
        <v>395200000</v>
      </c>
      <c r="J21" s="28">
        <f t="shared" si="10"/>
        <v>16</v>
      </c>
      <c r="K21" s="84">
        <v>0.31</v>
      </c>
      <c r="L21" s="97">
        <f t="shared" si="5"/>
        <v>122512000</v>
      </c>
      <c r="M21" s="84">
        <v>0.1</v>
      </c>
      <c r="N21" s="84">
        <v>0.15</v>
      </c>
      <c r="O21" s="84">
        <f t="shared" si="6"/>
        <v>0.56000000000000005</v>
      </c>
      <c r="P21" s="93">
        <f t="shared" si="7"/>
        <v>0.43999999999999995</v>
      </c>
      <c r="Q21" s="93">
        <v>0.1</v>
      </c>
      <c r="R21" s="93">
        <f t="shared" si="8"/>
        <v>0.33999999999999997</v>
      </c>
      <c r="S21" s="96">
        <f t="shared" si="9"/>
        <v>134368000</v>
      </c>
      <c r="T21" s="58" t="s">
        <v>31</v>
      </c>
      <c r="U21" s="47" t="s">
        <v>33</v>
      </c>
    </row>
    <row r="22" spans="1:21" ht="17.25" x14ac:dyDescent="0.45">
      <c r="A22" s="5"/>
      <c r="B22" s="5"/>
      <c r="C22" s="6"/>
      <c r="D22" s="39">
        <f t="shared" si="0"/>
        <v>0</v>
      </c>
      <c r="E22" s="25"/>
      <c r="F22" s="3"/>
      <c r="G22" s="41">
        <f t="shared" si="2"/>
        <v>0</v>
      </c>
      <c r="H22" s="41">
        <f t="shared" si="3"/>
        <v>0</v>
      </c>
      <c r="I22" s="42">
        <f t="shared" si="4"/>
        <v>0</v>
      </c>
      <c r="J22" s="28"/>
      <c r="K22" s="28"/>
      <c r="L22" s="97"/>
      <c r="M22" s="28"/>
      <c r="N22" s="84"/>
      <c r="O22" s="84"/>
      <c r="P22" s="93"/>
      <c r="Q22" s="93"/>
      <c r="R22" s="93"/>
      <c r="S22" s="96"/>
      <c r="T22" s="4"/>
      <c r="U22" s="4"/>
    </row>
    <row r="23" spans="1:21" ht="17.25" x14ac:dyDescent="0.45">
      <c r="A23" s="50" t="s">
        <v>34</v>
      </c>
      <c r="B23" s="51" t="s">
        <v>11</v>
      </c>
      <c r="C23" s="50">
        <v>8000000</v>
      </c>
      <c r="D23" s="52">
        <f t="shared" si="0"/>
        <v>8800000</v>
      </c>
      <c r="E23" s="53">
        <f t="shared" si="1"/>
        <v>140800000</v>
      </c>
      <c r="F23" s="54">
        <v>0.3</v>
      </c>
      <c r="G23" s="55">
        <f t="shared" si="2"/>
        <v>6160000</v>
      </c>
      <c r="H23" s="55">
        <f t="shared" si="3"/>
        <v>6200000</v>
      </c>
      <c r="I23" s="56">
        <f t="shared" si="4"/>
        <v>99200000</v>
      </c>
      <c r="J23" s="57">
        <f>J7</f>
        <v>16</v>
      </c>
      <c r="K23" s="85">
        <v>0.37</v>
      </c>
      <c r="L23" s="98">
        <f t="shared" si="5"/>
        <v>36704000</v>
      </c>
      <c r="M23" s="90">
        <v>0.1</v>
      </c>
      <c r="N23" s="90">
        <v>0.15</v>
      </c>
      <c r="O23" s="90">
        <f t="shared" si="6"/>
        <v>0.62</v>
      </c>
      <c r="P23" s="94">
        <f t="shared" si="7"/>
        <v>0.38</v>
      </c>
      <c r="Q23" s="94"/>
      <c r="R23" s="94"/>
      <c r="S23" s="104">
        <f>I23*P23</f>
        <v>37696000</v>
      </c>
      <c r="T23" s="50" t="s">
        <v>15</v>
      </c>
      <c r="U23" s="50" t="s">
        <v>52</v>
      </c>
    </row>
    <row r="24" spans="1:21" ht="17.25" x14ac:dyDescent="0.45">
      <c r="A24" s="50" t="s">
        <v>36</v>
      </c>
      <c r="B24" s="51" t="s">
        <v>37</v>
      </c>
      <c r="C24" s="50">
        <v>10000000</v>
      </c>
      <c r="D24" s="52">
        <f t="shared" si="0"/>
        <v>11000000</v>
      </c>
      <c r="E24" s="53">
        <f t="shared" si="1"/>
        <v>176000000</v>
      </c>
      <c r="F24" s="54">
        <v>0.3</v>
      </c>
      <c r="G24" s="55">
        <f t="shared" si="2"/>
        <v>7700000</v>
      </c>
      <c r="H24" s="55">
        <f t="shared" si="3"/>
        <v>7700000</v>
      </c>
      <c r="I24" s="56">
        <f t="shared" si="4"/>
        <v>123200000</v>
      </c>
      <c r="J24" s="57">
        <f t="shared" ref="J24:J25" si="11">J8</f>
        <v>16</v>
      </c>
      <c r="K24" s="85">
        <v>0.32</v>
      </c>
      <c r="L24" s="98">
        <f t="shared" si="5"/>
        <v>39424000</v>
      </c>
      <c r="M24" s="90">
        <v>0.1</v>
      </c>
      <c r="N24" s="90">
        <v>0.15</v>
      </c>
      <c r="O24" s="90">
        <f t="shared" si="6"/>
        <v>0.57000000000000006</v>
      </c>
      <c r="P24" s="94">
        <f t="shared" si="7"/>
        <v>0.42999999999999994</v>
      </c>
      <c r="Q24" s="94"/>
      <c r="R24" s="94"/>
      <c r="S24" s="104">
        <f>I24*P24</f>
        <v>52975999.999999993</v>
      </c>
      <c r="T24" s="50" t="s">
        <v>15</v>
      </c>
      <c r="U24" s="50" t="s">
        <v>35</v>
      </c>
    </row>
    <row r="25" spans="1:21" ht="17.25" x14ac:dyDescent="0.45">
      <c r="A25" s="50" t="s">
        <v>56</v>
      </c>
      <c r="B25" s="51" t="s">
        <v>11</v>
      </c>
      <c r="C25" s="50">
        <v>15000000</v>
      </c>
      <c r="D25" s="52">
        <f t="shared" si="0"/>
        <v>16500000</v>
      </c>
      <c r="E25" s="53">
        <f t="shared" si="1"/>
        <v>264000000</v>
      </c>
      <c r="F25" s="54">
        <v>0.3</v>
      </c>
      <c r="G25" s="55">
        <f t="shared" si="2"/>
        <v>11550000</v>
      </c>
      <c r="H25" s="55">
        <f t="shared" si="3"/>
        <v>11600000</v>
      </c>
      <c r="I25" s="56">
        <f t="shared" si="4"/>
        <v>185600000</v>
      </c>
      <c r="J25" s="57">
        <f t="shared" si="11"/>
        <v>16</v>
      </c>
      <c r="K25" s="85">
        <v>0.25</v>
      </c>
      <c r="L25" s="98">
        <f t="shared" si="5"/>
        <v>46400000</v>
      </c>
      <c r="M25" s="90">
        <v>0.1</v>
      </c>
      <c r="N25" s="90">
        <v>0.15</v>
      </c>
      <c r="O25" s="90">
        <f t="shared" si="6"/>
        <v>0.5</v>
      </c>
      <c r="P25" s="94">
        <f t="shared" si="7"/>
        <v>0.5</v>
      </c>
      <c r="Q25" s="94"/>
      <c r="R25" s="94"/>
      <c r="S25" s="104">
        <f>I25*P25</f>
        <v>92800000</v>
      </c>
      <c r="T25" s="50" t="s">
        <v>15</v>
      </c>
      <c r="U25" s="50" t="s">
        <v>35</v>
      </c>
    </row>
    <row r="26" spans="1:21" x14ac:dyDescent="0.4">
      <c r="E26" s="25">
        <f t="shared" si="1"/>
        <v>0</v>
      </c>
      <c r="I26" s="8"/>
    </row>
    <row r="27" spans="1:21" x14ac:dyDescent="0.4">
      <c r="I27" s="8"/>
    </row>
    <row r="67" spans="1:1" x14ac:dyDescent="0.4">
      <c r="A67" s="7" t="s">
        <v>42</v>
      </c>
    </row>
    <row r="68" spans="1:1" x14ac:dyDescent="0.4">
      <c r="A68" s="1" t="s">
        <v>43</v>
      </c>
    </row>
    <row r="69" spans="1:1" x14ac:dyDescent="0.4">
      <c r="A69" s="1" t="s">
        <v>44</v>
      </c>
    </row>
  </sheetData>
  <mergeCells count="1">
    <mergeCell ref="A6:J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"/>
  <sheetViews>
    <sheetView showGridLines="0" topLeftCell="G6" zoomScaleNormal="100" workbookViewId="0">
      <selection activeCell="Q18" sqref="Q18"/>
    </sheetView>
  </sheetViews>
  <sheetFormatPr defaultColWidth="9.25" defaultRowHeight="13.5" x14ac:dyDescent="0.35"/>
  <cols>
    <col min="1" max="1" width="29.875" style="19" customWidth="1"/>
    <col min="2" max="2" width="8.375" style="19" customWidth="1"/>
    <col min="3" max="4" width="16" style="19" customWidth="1"/>
    <col min="5" max="5" width="18.5" style="19" customWidth="1"/>
    <col min="6" max="6" width="10.375" style="19" customWidth="1"/>
    <col min="7" max="8" width="15.5" style="19" customWidth="1"/>
    <col min="9" max="9" width="18.75" style="19" customWidth="1"/>
    <col min="10" max="11" width="10" style="19" customWidth="1"/>
    <col min="12" max="12" width="13.0625" style="19" customWidth="1"/>
    <col min="13" max="18" width="10" style="19" customWidth="1"/>
    <col min="19" max="19" width="14.9375" style="19" customWidth="1"/>
    <col min="20" max="20" width="9.5" style="19" customWidth="1"/>
    <col min="21" max="21" width="35.25" style="19" customWidth="1"/>
    <col min="22" max="24" width="19.875" style="19" customWidth="1"/>
    <col min="25" max="25" width="9.25" style="19" customWidth="1"/>
    <col min="26" max="16384" width="9.25" style="19"/>
  </cols>
  <sheetData>
    <row r="1" spans="1:21" x14ac:dyDescent="0.35">
      <c r="A1" s="106"/>
      <c r="B1" s="106"/>
      <c r="C1" s="106"/>
      <c r="D1" s="106"/>
      <c r="E1" s="106"/>
      <c r="F1" s="106"/>
      <c r="G1" s="106"/>
      <c r="H1" s="106"/>
      <c r="I1" s="106"/>
    </row>
    <row r="2" spans="1:21" x14ac:dyDescent="0.35">
      <c r="A2" s="106"/>
      <c r="B2" s="106"/>
      <c r="C2" s="106"/>
      <c r="D2" s="106"/>
      <c r="E2" s="106"/>
      <c r="F2" s="106"/>
      <c r="G2" s="106"/>
      <c r="H2" s="106"/>
      <c r="I2" s="106"/>
    </row>
    <row r="3" spans="1:21" x14ac:dyDescent="0.35">
      <c r="A3" s="106"/>
      <c r="B3" s="106"/>
      <c r="C3" s="106"/>
      <c r="D3" s="106"/>
      <c r="E3" s="106"/>
      <c r="F3" s="106"/>
      <c r="G3" s="106"/>
      <c r="H3" s="106"/>
      <c r="I3" s="106"/>
    </row>
    <row r="6" spans="1:21" s="16" customFormat="1" ht="15" x14ac:dyDescent="0.4">
      <c r="A6" s="105" t="s">
        <v>47</v>
      </c>
      <c r="B6" s="105"/>
      <c r="C6" s="105"/>
      <c r="D6" s="105"/>
      <c r="E6" s="105"/>
      <c r="F6" s="105"/>
      <c r="G6" s="105"/>
      <c r="H6" s="105"/>
      <c r="I6" s="105"/>
      <c r="J6" s="105"/>
      <c r="K6" s="80"/>
      <c r="L6" s="80"/>
      <c r="M6" s="80"/>
      <c r="N6" s="80"/>
      <c r="O6" s="80"/>
      <c r="P6" s="80"/>
      <c r="Q6" s="80"/>
      <c r="R6" s="80"/>
      <c r="S6" s="80"/>
    </row>
    <row r="7" spans="1:21" s="16" customFormat="1" ht="15" x14ac:dyDescent="0.4">
      <c r="A7" s="34" t="s">
        <v>1</v>
      </c>
      <c r="B7" s="34" t="s">
        <v>2</v>
      </c>
      <c r="C7" s="35" t="s">
        <v>3</v>
      </c>
      <c r="D7" s="21" t="s">
        <v>3</v>
      </c>
      <c r="E7" s="35" t="s">
        <v>45</v>
      </c>
      <c r="F7" s="36" t="s">
        <v>5</v>
      </c>
      <c r="G7" s="37" t="s">
        <v>6</v>
      </c>
      <c r="H7" s="37" t="s">
        <v>6</v>
      </c>
      <c r="I7" s="35" t="s">
        <v>38</v>
      </c>
      <c r="J7" s="34">
        <v>10</v>
      </c>
      <c r="K7" s="86" t="s">
        <v>60</v>
      </c>
      <c r="L7" s="86" t="s">
        <v>67</v>
      </c>
      <c r="M7" s="86" t="s">
        <v>61</v>
      </c>
      <c r="N7" s="86" t="s">
        <v>62</v>
      </c>
      <c r="O7" s="86" t="s">
        <v>63</v>
      </c>
      <c r="P7" s="95" t="s">
        <v>64</v>
      </c>
      <c r="Q7" s="95" t="s">
        <v>9</v>
      </c>
      <c r="R7" s="95" t="s">
        <v>65</v>
      </c>
      <c r="S7" s="95" t="s">
        <v>68</v>
      </c>
      <c r="T7" s="12" t="s">
        <v>8</v>
      </c>
      <c r="U7" s="2" t="s">
        <v>9</v>
      </c>
    </row>
    <row r="8" spans="1:21" s="16" customFormat="1" ht="17.25" x14ac:dyDescent="0.45">
      <c r="A8" s="44" t="s">
        <v>10</v>
      </c>
      <c r="B8" s="24" t="s">
        <v>11</v>
      </c>
      <c r="C8" s="25">
        <v>2500000</v>
      </c>
      <c r="D8" s="25">
        <f>C8+(C8*10%)</f>
        <v>2750000</v>
      </c>
      <c r="E8" s="25">
        <f>D8*J8</f>
        <v>27500000</v>
      </c>
      <c r="F8" s="26">
        <v>0.25</v>
      </c>
      <c r="G8" s="27">
        <f>D8-(D8*F8)</f>
        <v>2062500</v>
      </c>
      <c r="H8" s="27">
        <f>ROUND(VALUE(G8),-5)</f>
        <v>2100000</v>
      </c>
      <c r="I8" s="38">
        <f>H8*J8</f>
        <v>21000000</v>
      </c>
      <c r="J8" s="28">
        <f t="shared" ref="J8:J21" si="0">J7</f>
        <v>10</v>
      </c>
      <c r="K8" s="84">
        <v>0.66</v>
      </c>
      <c r="L8" s="97">
        <f>I8*K8</f>
        <v>13860000</v>
      </c>
      <c r="M8" s="84">
        <v>0.1</v>
      </c>
      <c r="N8" s="84">
        <v>0.15</v>
      </c>
      <c r="O8" s="84">
        <f>K8+M8+N8</f>
        <v>0.91</v>
      </c>
      <c r="P8" s="93">
        <f>100%-O8</f>
        <v>8.9999999999999969E-2</v>
      </c>
      <c r="Q8" s="93"/>
      <c r="R8" s="93">
        <f>P8-Q8</f>
        <v>8.9999999999999969E-2</v>
      </c>
      <c r="S8" s="96">
        <f>I8*R8</f>
        <v>1889999.9999999993</v>
      </c>
      <c r="T8" s="59" t="s">
        <v>12</v>
      </c>
      <c r="U8" s="47" t="s">
        <v>13</v>
      </c>
    </row>
    <row r="9" spans="1:21" s="16" customFormat="1" ht="17.25" x14ac:dyDescent="0.45">
      <c r="A9" s="45" t="s">
        <v>14</v>
      </c>
      <c r="B9" s="29" t="s">
        <v>11</v>
      </c>
      <c r="C9" s="30">
        <v>3500000</v>
      </c>
      <c r="D9" s="25">
        <f t="shared" ref="D9:D25" si="1">C9+(C9*10%)</f>
        <v>3850000</v>
      </c>
      <c r="E9" s="25">
        <f t="shared" ref="E9:E25" si="2">D9*J9</f>
        <v>38500000</v>
      </c>
      <c r="F9" s="26">
        <v>0.25</v>
      </c>
      <c r="G9" s="27">
        <f t="shared" ref="G9:G25" si="3">D9-(D9*F9)</f>
        <v>2887500</v>
      </c>
      <c r="H9" s="27">
        <f t="shared" ref="H9:H25" si="4">ROUND(VALUE(G9),-5)</f>
        <v>2900000</v>
      </c>
      <c r="I9" s="38">
        <f t="shared" ref="I9:I25" si="5">H9*J9</f>
        <v>29000000</v>
      </c>
      <c r="J9" s="28">
        <f t="shared" si="0"/>
        <v>10</v>
      </c>
      <c r="K9" s="84">
        <v>0.59</v>
      </c>
      <c r="L9" s="97">
        <f t="shared" ref="L9:L25" si="6">I9*K9</f>
        <v>17110000</v>
      </c>
      <c r="M9" s="84">
        <v>0.1</v>
      </c>
      <c r="N9" s="84">
        <v>0.15</v>
      </c>
      <c r="O9" s="84">
        <f t="shared" ref="O9:O25" si="7">K9+M9+N9</f>
        <v>0.84</v>
      </c>
      <c r="P9" s="93">
        <f t="shared" ref="P9:P25" si="8">100%-O9</f>
        <v>0.16000000000000003</v>
      </c>
      <c r="Q9" s="93"/>
      <c r="R9" s="93">
        <f t="shared" ref="R9:R21" si="9">P9-Q9</f>
        <v>0.16000000000000003</v>
      </c>
      <c r="S9" s="96">
        <f t="shared" ref="S9:S21" si="10">I9*R9</f>
        <v>4640000.0000000009</v>
      </c>
      <c r="T9" s="59" t="s">
        <v>15</v>
      </c>
      <c r="U9" s="47" t="s">
        <v>13</v>
      </c>
    </row>
    <row r="10" spans="1:21" s="16" customFormat="1" ht="17.25" x14ac:dyDescent="0.45">
      <c r="A10" s="45" t="s">
        <v>16</v>
      </c>
      <c r="B10" s="29" t="s">
        <v>11</v>
      </c>
      <c r="C10" s="30">
        <v>4000000</v>
      </c>
      <c r="D10" s="25">
        <f t="shared" si="1"/>
        <v>4400000</v>
      </c>
      <c r="E10" s="25">
        <f t="shared" si="2"/>
        <v>44000000</v>
      </c>
      <c r="F10" s="26">
        <v>0.25</v>
      </c>
      <c r="G10" s="27">
        <f t="shared" si="3"/>
        <v>3300000</v>
      </c>
      <c r="H10" s="27">
        <f t="shared" si="4"/>
        <v>3300000</v>
      </c>
      <c r="I10" s="38">
        <f t="shared" si="5"/>
        <v>33000000</v>
      </c>
      <c r="J10" s="28">
        <f t="shared" si="0"/>
        <v>10</v>
      </c>
      <c r="K10" s="84">
        <v>0.59</v>
      </c>
      <c r="L10" s="97">
        <f t="shared" si="6"/>
        <v>19470000</v>
      </c>
      <c r="M10" s="84">
        <v>0.1</v>
      </c>
      <c r="N10" s="84">
        <v>0.15</v>
      </c>
      <c r="O10" s="84">
        <f t="shared" si="7"/>
        <v>0.84</v>
      </c>
      <c r="P10" s="93">
        <f t="shared" si="8"/>
        <v>0.16000000000000003</v>
      </c>
      <c r="Q10" s="93"/>
      <c r="R10" s="93">
        <f t="shared" si="9"/>
        <v>0.16000000000000003</v>
      </c>
      <c r="S10" s="96">
        <f t="shared" si="10"/>
        <v>5280000.0000000009</v>
      </c>
      <c r="T10" s="59" t="s">
        <v>17</v>
      </c>
      <c r="U10" s="47" t="s">
        <v>18</v>
      </c>
    </row>
    <row r="11" spans="1:21" s="16" customFormat="1" ht="17.25" x14ac:dyDescent="0.45">
      <c r="A11" s="45" t="s">
        <v>48</v>
      </c>
      <c r="B11" s="29" t="s">
        <v>27</v>
      </c>
      <c r="C11" s="43">
        <v>6000000</v>
      </c>
      <c r="D11" s="25">
        <f t="shared" si="1"/>
        <v>6600000</v>
      </c>
      <c r="E11" s="25">
        <f t="shared" si="2"/>
        <v>66000000</v>
      </c>
      <c r="F11" s="26">
        <v>0.25</v>
      </c>
      <c r="G11" s="27">
        <f t="shared" si="3"/>
        <v>4950000</v>
      </c>
      <c r="H11" s="27">
        <f t="shared" si="4"/>
        <v>5000000</v>
      </c>
      <c r="I11" s="38">
        <f t="shared" si="5"/>
        <v>50000000</v>
      </c>
      <c r="J11" s="28">
        <v>10</v>
      </c>
      <c r="K11" s="84">
        <v>0.45</v>
      </c>
      <c r="L11" s="97">
        <f t="shared" si="6"/>
        <v>22500000</v>
      </c>
      <c r="M11" s="84">
        <v>0.1</v>
      </c>
      <c r="N11" s="84">
        <v>0.15</v>
      </c>
      <c r="O11" s="84">
        <f t="shared" si="7"/>
        <v>0.70000000000000007</v>
      </c>
      <c r="P11" s="93">
        <f t="shared" si="8"/>
        <v>0.29999999999999993</v>
      </c>
      <c r="Q11" s="93"/>
      <c r="R11" s="93">
        <f t="shared" si="9"/>
        <v>0.29999999999999993</v>
      </c>
      <c r="S11" s="96">
        <f t="shared" si="10"/>
        <v>14999999.999999996</v>
      </c>
      <c r="T11" s="58" t="s">
        <v>15</v>
      </c>
      <c r="U11" s="47" t="s">
        <v>49</v>
      </c>
    </row>
    <row r="12" spans="1:21" s="16" customFormat="1" ht="17.25" hidden="1" x14ac:dyDescent="0.45">
      <c r="A12" s="45" t="s">
        <v>19</v>
      </c>
      <c r="B12" s="29" t="s">
        <v>11</v>
      </c>
      <c r="C12" s="30">
        <v>6000000</v>
      </c>
      <c r="D12" s="25">
        <f t="shared" si="1"/>
        <v>6600000</v>
      </c>
      <c r="E12" s="25">
        <f t="shared" si="2"/>
        <v>66000000</v>
      </c>
      <c r="F12" s="26">
        <v>0.25</v>
      </c>
      <c r="G12" s="27">
        <f t="shared" si="3"/>
        <v>4950000</v>
      </c>
      <c r="H12" s="27">
        <f t="shared" si="4"/>
        <v>5000000</v>
      </c>
      <c r="I12" s="38">
        <f t="shared" si="5"/>
        <v>50000000</v>
      </c>
      <c r="J12" s="28">
        <f>J10</f>
        <v>10</v>
      </c>
      <c r="K12" s="82"/>
      <c r="L12" s="97">
        <f t="shared" si="6"/>
        <v>0</v>
      </c>
      <c r="M12" s="84">
        <v>0.1</v>
      </c>
      <c r="N12" s="84">
        <v>0.15</v>
      </c>
      <c r="O12" s="84">
        <f t="shared" si="7"/>
        <v>0.25</v>
      </c>
      <c r="P12" s="93">
        <f t="shared" si="8"/>
        <v>0.75</v>
      </c>
      <c r="Q12" s="93"/>
      <c r="R12" s="93">
        <f t="shared" si="9"/>
        <v>0.75</v>
      </c>
      <c r="S12" s="96">
        <f t="shared" si="10"/>
        <v>37500000</v>
      </c>
      <c r="T12" s="59" t="s">
        <v>17</v>
      </c>
      <c r="U12" s="47" t="s">
        <v>20</v>
      </c>
    </row>
    <row r="13" spans="1:21" s="16" customFormat="1" ht="17.25" x14ac:dyDescent="0.45">
      <c r="A13" s="45" t="s">
        <v>21</v>
      </c>
      <c r="B13" s="29" t="s">
        <v>11</v>
      </c>
      <c r="C13" s="30">
        <v>7500000</v>
      </c>
      <c r="D13" s="25">
        <f t="shared" si="1"/>
        <v>8250000</v>
      </c>
      <c r="E13" s="25">
        <f t="shared" si="2"/>
        <v>82500000</v>
      </c>
      <c r="F13" s="26">
        <v>0.25</v>
      </c>
      <c r="G13" s="27">
        <f t="shared" si="3"/>
        <v>6187500</v>
      </c>
      <c r="H13" s="27">
        <f t="shared" si="4"/>
        <v>6200000</v>
      </c>
      <c r="I13" s="38">
        <f t="shared" si="5"/>
        <v>62000000</v>
      </c>
      <c r="J13" s="28">
        <f t="shared" si="0"/>
        <v>10</v>
      </c>
      <c r="K13" s="84">
        <v>0.37</v>
      </c>
      <c r="L13" s="97">
        <f t="shared" si="6"/>
        <v>22940000</v>
      </c>
      <c r="M13" s="84">
        <v>0.1</v>
      </c>
      <c r="N13" s="84">
        <v>0.15</v>
      </c>
      <c r="O13" s="84">
        <f t="shared" si="7"/>
        <v>0.62</v>
      </c>
      <c r="P13" s="93">
        <f t="shared" si="8"/>
        <v>0.38</v>
      </c>
      <c r="Q13" s="93">
        <v>0.1</v>
      </c>
      <c r="R13" s="93">
        <f t="shared" si="9"/>
        <v>0.28000000000000003</v>
      </c>
      <c r="S13" s="96">
        <f t="shared" si="10"/>
        <v>17360000</v>
      </c>
      <c r="T13" s="59" t="s">
        <v>15</v>
      </c>
      <c r="U13" s="47" t="s">
        <v>18</v>
      </c>
    </row>
    <row r="14" spans="1:21" s="16" customFormat="1" ht="17.25" x14ac:dyDescent="0.45">
      <c r="A14" s="45" t="s">
        <v>22</v>
      </c>
      <c r="B14" s="29" t="s">
        <v>11</v>
      </c>
      <c r="C14" s="30">
        <v>8500000</v>
      </c>
      <c r="D14" s="25">
        <f t="shared" si="1"/>
        <v>9350000</v>
      </c>
      <c r="E14" s="25">
        <f t="shared" si="2"/>
        <v>93500000</v>
      </c>
      <c r="F14" s="26">
        <v>0.25</v>
      </c>
      <c r="G14" s="27">
        <f t="shared" si="3"/>
        <v>7012500</v>
      </c>
      <c r="H14" s="27">
        <f t="shared" si="4"/>
        <v>7000000</v>
      </c>
      <c r="I14" s="38">
        <f t="shared" si="5"/>
        <v>70000000</v>
      </c>
      <c r="J14" s="28">
        <f t="shared" si="0"/>
        <v>10</v>
      </c>
      <c r="K14" s="84">
        <v>0.36</v>
      </c>
      <c r="L14" s="97">
        <f t="shared" si="6"/>
        <v>25200000</v>
      </c>
      <c r="M14" s="84">
        <v>0.1</v>
      </c>
      <c r="N14" s="84">
        <v>0.15</v>
      </c>
      <c r="O14" s="84">
        <f t="shared" si="7"/>
        <v>0.61</v>
      </c>
      <c r="P14" s="93">
        <f t="shared" si="8"/>
        <v>0.39</v>
      </c>
      <c r="Q14" s="93">
        <v>0.1</v>
      </c>
      <c r="R14" s="93">
        <f t="shared" si="9"/>
        <v>0.29000000000000004</v>
      </c>
      <c r="S14" s="96">
        <f t="shared" si="10"/>
        <v>20300000.000000004</v>
      </c>
      <c r="T14" s="59" t="s">
        <v>15</v>
      </c>
      <c r="U14" s="47" t="s">
        <v>20</v>
      </c>
    </row>
    <row r="15" spans="1:21" s="16" customFormat="1" ht="17.25" hidden="1" x14ac:dyDescent="0.45">
      <c r="A15" s="45" t="s">
        <v>50</v>
      </c>
      <c r="B15" s="29" t="s">
        <v>27</v>
      </c>
      <c r="C15" s="43">
        <f>9000000</f>
        <v>9000000</v>
      </c>
      <c r="D15" s="25">
        <f t="shared" si="1"/>
        <v>9900000</v>
      </c>
      <c r="E15" s="25">
        <f t="shared" si="2"/>
        <v>99000000</v>
      </c>
      <c r="F15" s="26">
        <v>0.25</v>
      </c>
      <c r="G15" s="27">
        <f t="shared" si="3"/>
        <v>7425000</v>
      </c>
      <c r="H15" s="27">
        <f t="shared" si="4"/>
        <v>7400000</v>
      </c>
      <c r="I15" s="38">
        <f t="shared" si="5"/>
        <v>74000000</v>
      </c>
      <c r="J15" s="28">
        <v>10</v>
      </c>
      <c r="K15" s="82"/>
      <c r="L15" s="97">
        <f t="shared" si="6"/>
        <v>0</v>
      </c>
      <c r="M15" s="84">
        <v>0.1</v>
      </c>
      <c r="N15" s="84">
        <v>0.15</v>
      </c>
      <c r="O15" s="84">
        <f t="shared" si="7"/>
        <v>0.25</v>
      </c>
      <c r="P15" s="93">
        <f t="shared" si="8"/>
        <v>0.75</v>
      </c>
      <c r="Q15" s="93">
        <v>0.1</v>
      </c>
      <c r="R15" s="93">
        <f t="shared" si="9"/>
        <v>0.65</v>
      </c>
      <c r="S15" s="96">
        <f t="shared" si="10"/>
        <v>48100000</v>
      </c>
      <c r="T15" s="58" t="s">
        <v>15</v>
      </c>
      <c r="U15" s="47" t="s">
        <v>20</v>
      </c>
    </row>
    <row r="16" spans="1:21" s="16" customFormat="1" ht="17.25" x14ac:dyDescent="0.45">
      <c r="A16" s="45" t="s">
        <v>23</v>
      </c>
      <c r="B16" s="29" t="s">
        <v>11</v>
      </c>
      <c r="C16" s="30">
        <v>9000000</v>
      </c>
      <c r="D16" s="25">
        <f t="shared" si="1"/>
        <v>9900000</v>
      </c>
      <c r="E16" s="25">
        <f t="shared" si="2"/>
        <v>99000000</v>
      </c>
      <c r="F16" s="26">
        <v>0.25</v>
      </c>
      <c r="G16" s="27">
        <f t="shared" si="3"/>
        <v>7425000</v>
      </c>
      <c r="H16" s="27">
        <f t="shared" si="4"/>
        <v>7400000</v>
      </c>
      <c r="I16" s="38">
        <f t="shared" si="5"/>
        <v>74000000</v>
      </c>
      <c r="J16" s="28">
        <f>J14</f>
        <v>10</v>
      </c>
      <c r="K16" s="84">
        <v>0.33</v>
      </c>
      <c r="L16" s="97">
        <f t="shared" si="6"/>
        <v>24420000</v>
      </c>
      <c r="M16" s="84">
        <v>0.1</v>
      </c>
      <c r="N16" s="84">
        <v>0.15</v>
      </c>
      <c r="O16" s="84">
        <f t="shared" si="7"/>
        <v>0.58000000000000007</v>
      </c>
      <c r="P16" s="93">
        <f t="shared" si="8"/>
        <v>0.41999999999999993</v>
      </c>
      <c r="Q16" s="93">
        <v>0.1</v>
      </c>
      <c r="R16" s="93">
        <f t="shared" si="9"/>
        <v>0.31999999999999995</v>
      </c>
      <c r="S16" s="96">
        <f t="shared" si="10"/>
        <v>23679999.999999996</v>
      </c>
      <c r="T16" s="59" t="s">
        <v>17</v>
      </c>
      <c r="U16" s="47" t="s">
        <v>54</v>
      </c>
    </row>
    <row r="17" spans="1:21" s="16" customFormat="1" ht="17.25" x14ac:dyDescent="0.45">
      <c r="A17" s="45" t="s">
        <v>24</v>
      </c>
      <c r="B17" s="29" t="s">
        <v>11</v>
      </c>
      <c r="C17" s="30">
        <v>10000000</v>
      </c>
      <c r="D17" s="25">
        <f t="shared" si="1"/>
        <v>11000000</v>
      </c>
      <c r="E17" s="25">
        <f t="shared" si="2"/>
        <v>110000000</v>
      </c>
      <c r="F17" s="26">
        <v>0.25</v>
      </c>
      <c r="G17" s="27">
        <f t="shared" si="3"/>
        <v>8250000</v>
      </c>
      <c r="H17" s="27">
        <f t="shared" si="4"/>
        <v>8300000</v>
      </c>
      <c r="I17" s="38">
        <f t="shared" si="5"/>
        <v>83000000</v>
      </c>
      <c r="J17" s="28">
        <f t="shared" si="0"/>
        <v>10</v>
      </c>
      <c r="K17" s="84">
        <v>0.34</v>
      </c>
      <c r="L17" s="97">
        <f t="shared" si="6"/>
        <v>28220000.000000004</v>
      </c>
      <c r="M17" s="84">
        <v>0.1</v>
      </c>
      <c r="N17" s="84">
        <v>0.15</v>
      </c>
      <c r="O17" s="84">
        <f t="shared" si="7"/>
        <v>0.59000000000000008</v>
      </c>
      <c r="P17" s="93">
        <f t="shared" si="8"/>
        <v>0.40999999999999992</v>
      </c>
      <c r="Q17" s="93">
        <v>0.1</v>
      </c>
      <c r="R17" s="93">
        <f t="shared" si="9"/>
        <v>0.30999999999999994</v>
      </c>
      <c r="S17" s="96">
        <f t="shared" si="10"/>
        <v>25729999.999999996</v>
      </c>
      <c r="T17" s="59" t="s">
        <v>15</v>
      </c>
      <c r="U17" s="47" t="s">
        <v>51</v>
      </c>
    </row>
    <row r="18" spans="1:21" s="16" customFormat="1" ht="17.25" x14ac:dyDescent="0.45">
      <c r="A18" s="45" t="s">
        <v>26</v>
      </c>
      <c r="B18" s="29" t="s">
        <v>27</v>
      </c>
      <c r="C18" s="30">
        <v>11500000</v>
      </c>
      <c r="D18" s="25">
        <f t="shared" si="1"/>
        <v>12650000</v>
      </c>
      <c r="E18" s="25">
        <f t="shared" si="2"/>
        <v>126500000</v>
      </c>
      <c r="F18" s="26">
        <v>0.3</v>
      </c>
      <c r="G18" s="27">
        <f t="shared" si="3"/>
        <v>8855000</v>
      </c>
      <c r="H18" s="27">
        <f t="shared" si="4"/>
        <v>8900000</v>
      </c>
      <c r="I18" s="38">
        <f t="shared" si="5"/>
        <v>89000000</v>
      </c>
      <c r="J18" s="28">
        <f t="shared" si="0"/>
        <v>10</v>
      </c>
      <c r="K18" s="84">
        <v>0.36</v>
      </c>
      <c r="L18" s="97">
        <f t="shared" si="6"/>
        <v>32040000</v>
      </c>
      <c r="M18" s="84">
        <v>0.1</v>
      </c>
      <c r="N18" s="84">
        <v>0.15</v>
      </c>
      <c r="O18" s="84">
        <f t="shared" si="7"/>
        <v>0.61</v>
      </c>
      <c r="P18" s="93">
        <f t="shared" si="8"/>
        <v>0.39</v>
      </c>
      <c r="Q18" s="93">
        <v>0.1</v>
      </c>
      <c r="R18" s="93">
        <f t="shared" si="9"/>
        <v>0.29000000000000004</v>
      </c>
      <c r="S18" s="96">
        <f t="shared" si="10"/>
        <v>25810000.000000004</v>
      </c>
      <c r="T18" s="59" t="s">
        <v>28</v>
      </c>
      <c r="U18" s="47" t="s">
        <v>25</v>
      </c>
    </row>
    <row r="19" spans="1:21" s="16" customFormat="1" ht="17.25" x14ac:dyDescent="0.45">
      <c r="A19" s="45" t="s">
        <v>39</v>
      </c>
      <c r="B19" s="29" t="s">
        <v>30</v>
      </c>
      <c r="C19" s="30">
        <v>12000000</v>
      </c>
      <c r="D19" s="25">
        <f t="shared" si="1"/>
        <v>13200000</v>
      </c>
      <c r="E19" s="25">
        <f t="shared" si="2"/>
        <v>132000000</v>
      </c>
      <c r="F19" s="26">
        <v>0.3</v>
      </c>
      <c r="G19" s="27">
        <f t="shared" si="3"/>
        <v>9240000</v>
      </c>
      <c r="H19" s="27">
        <f t="shared" si="4"/>
        <v>9200000</v>
      </c>
      <c r="I19" s="38">
        <f t="shared" si="5"/>
        <v>92000000</v>
      </c>
      <c r="J19" s="28">
        <f t="shared" si="0"/>
        <v>10</v>
      </c>
      <c r="K19" s="84">
        <v>0.43</v>
      </c>
      <c r="L19" s="97">
        <f t="shared" si="6"/>
        <v>39560000</v>
      </c>
      <c r="M19" s="84">
        <v>0.1</v>
      </c>
      <c r="N19" s="84">
        <v>0.15</v>
      </c>
      <c r="O19" s="84">
        <f t="shared" si="7"/>
        <v>0.68</v>
      </c>
      <c r="P19" s="93">
        <f t="shared" si="8"/>
        <v>0.31999999999999995</v>
      </c>
      <c r="Q19" s="93">
        <v>0.1</v>
      </c>
      <c r="R19" s="93">
        <f t="shared" si="9"/>
        <v>0.21999999999999995</v>
      </c>
      <c r="S19" s="96">
        <f t="shared" si="10"/>
        <v>20239999.999999996</v>
      </c>
      <c r="T19" s="59" t="s">
        <v>31</v>
      </c>
      <c r="U19" s="47" t="s">
        <v>25</v>
      </c>
    </row>
    <row r="20" spans="1:21" s="16" customFormat="1" ht="17.25" x14ac:dyDescent="0.45">
      <c r="A20" s="45" t="s">
        <v>32</v>
      </c>
      <c r="B20" s="29" t="s">
        <v>30</v>
      </c>
      <c r="C20" s="30">
        <v>14000000</v>
      </c>
      <c r="D20" s="25">
        <f t="shared" si="1"/>
        <v>15400000</v>
      </c>
      <c r="E20" s="25">
        <f t="shared" si="2"/>
        <v>154000000</v>
      </c>
      <c r="F20" s="26">
        <v>0.3</v>
      </c>
      <c r="G20" s="27">
        <f t="shared" si="3"/>
        <v>10780000</v>
      </c>
      <c r="H20" s="27">
        <f t="shared" si="4"/>
        <v>10800000</v>
      </c>
      <c r="I20" s="38">
        <f t="shared" si="5"/>
        <v>108000000</v>
      </c>
      <c r="J20" s="28">
        <f t="shared" si="0"/>
        <v>10</v>
      </c>
      <c r="K20" s="84">
        <v>0.39</v>
      </c>
      <c r="L20" s="97">
        <f t="shared" si="6"/>
        <v>42120000</v>
      </c>
      <c r="M20" s="84">
        <v>0.1</v>
      </c>
      <c r="N20" s="84">
        <v>0.15</v>
      </c>
      <c r="O20" s="84">
        <f t="shared" si="7"/>
        <v>0.64</v>
      </c>
      <c r="P20" s="93">
        <f t="shared" si="8"/>
        <v>0.36</v>
      </c>
      <c r="Q20" s="93">
        <v>0.1</v>
      </c>
      <c r="R20" s="93">
        <f t="shared" si="9"/>
        <v>0.26</v>
      </c>
      <c r="S20" s="96">
        <f t="shared" si="10"/>
        <v>28080000</v>
      </c>
      <c r="T20" s="59" t="s">
        <v>31</v>
      </c>
      <c r="U20" s="47" t="s">
        <v>33</v>
      </c>
    </row>
    <row r="21" spans="1:21" s="16" customFormat="1" ht="17.25" x14ac:dyDescent="0.45">
      <c r="A21" s="45" t="s">
        <v>53</v>
      </c>
      <c r="B21" s="29" t="s">
        <v>30</v>
      </c>
      <c r="C21" s="30">
        <v>33000000</v>
      </c>
      <c r="D21" s="25">
        <f t="shared" si="1"/>
        <v>36300000</v>
      </c>
      <c r="E21" s="25">
        <f t="shared" si="2"/>
        <v>363000000</v>
      </c>
      <c r="F21" s="26">
        <v>0.3</v>
      </c>
      <c r="G21" s="27">
        <f t="shared" si="3"/>
        <v>25410000</v>
      </c>
      <c r="H21" s="27">
        <f t="shared" si="4"/>
        <v>25400000</v>
      </c>
      <c r="I21" s="38">
        <f t="shared" si="5"/>
        <v>254000000</v>
      </c>
      <c r="J21" s="28">
        <f t="shared" si="0"/>
        <v>10</v>
      </c>
      <c r="K21" s="84">
        <v>0.31</v>
      </c>
      <c r="L21" s="97">
        <f t="shared" si="6"/>
        <v>78740000</v>
      </c>
      <c r="M21" s="84">
        <v>0.1</v>
      </c>
      <c r="N21" s="84">
        <v>0.15</v>
      </c>
      <c r="O21" s="84">
        <f t="shared" si="7"/>
        <v>0.56000000000000005</v>
      </c>
      <c r="P21" s="93">
        <f t="shared" si="8"/>
        <v>0.43999999999999995</v>
      </c>
      <c r="Q21" s="93">
        <v>0.1</v>
      </c>
      <c r="R21" s="93">
        <f t="shared" si="9"/>
        <v>0.33999999999999997</v>
      </c>
      <c r="S21" s="96">
        <f t="shared" si="10"/>
        <v>86359999.999999985</v>
      </c>
      <c r="T21" s="59" t="s">
        <v>31</v>
      </c>
      <c r="U21" s="47" t="s">
        <v>33</v>
      </c>
    </row>
    <row r="22" spans="1:21" s="16" customFormat="1" ht="17.25" x14ac:dyDescent="0.45">
      <c r="A22" s="10"/>
      <c r="B22" s="5"/>
      <c r="C22" s="11"/>
      <c r="D22" s="25"/>
      <c r="E22" s="25">
        <f t="shared" si="2"/>
        <v>0</v>
      </c>
      <c r="F22" s="32"/>
      <c r="G22" s="27">
        <f t="shared" si="3"/>
        <v>0</v>
      </c>
      <c r="H22" s="27">
        <f t="shared" si="4"/>
        <v>0</v>
      </c>
      <c r="I22" s="38">
        <f t="shared" si="5"/>
        <v>0</v>
      </c>
      <c r="J22" s="9"/>
      <c r="K22" s="87"/>
      <c r="L22" s="97"/>
      <c r="M22" s="87"/>
      <c r="N22" s="87"/>
      <c r="O22" s="84"/>
      <c r="P22" s="93"/>
      <c r="Q22" s="93"/>
      <c r="R22" s="93"/>
      <c r="S22" s="96"/>
      <c r="T22" s="33"/>
      <c r="U22" s="18"/>
    </row>
    <row r="23" spans="1:21" s="16" customFormat="1" ht="17.25" x14ac:dyDescent="0.45">
      <c r="A23" s="50" t="s">
        <v>34</v>
      </c>
      <c r="B23" s="51" t="s">
        <v>11</v>
      </c>
      <c r="C23" s="60">
        <v>8000000</v>
      </c>
      <c r="D23" s="53">
        <f t="shared" si="1"/>
        <v>8800000</v>
      </c>
      <c r="E23" s="53">
        <f t="shared" si="2"/>
        <v>88000000</v>
      </c>
      <c r="F23" s="61">
        <v>0.2</v>
      </c>
      <c r="G23" s="62">
        <f t="shared" si="3"/>
        <v>7040000</v>
      </c>
      <c r="H23" s="62">
        <f t="shared" si="4"/>
        <v>7000000</v>
      </c>
      <c r="I23" s="63">
        <f t="shared" si="5"/>
        <v>70000000</v>
      </c>
      <c r="J23" s="57">
        <f>J7</f>
        <v>10</v>
      </c>
      <c r="K23" s="90">
        <v>0.36</v>
      </c>
      <c r="L23" s="98">
        <f t="shared" si="6"/>
        <v>25200000</v>
      </c>
      <c r="M23" s="90">
        <v>0.1</v>
      </c>
      <c r="N23" s="90">
        <v>0.15</v>
      </c>
      <c r="O23" s="90">
        <f t="shared" si="7"/>
        <v>0.61</v>
      </c>
      <c r="P23" s="94">
        <f t="shared" si="8"/>
        <v>0.39</v>
      </c>
      <c r="Q23" s="94"/>
      <c r="R23" s="94"/>
      <c r="S23" s="104">
        <f t="shared" ref="S9:S25" si="11">I23*P23</f>
        <v>27300000</v>
      </c>
      <c r="T23" s="65" t="s">
        <v>15</v>
      </c>
      <c r="U23" s="64" t="s">
        <v>52</v>
      </c>
    </row>
    <row r="24" spans="1:21" s="16" customFormat="1" ht="17.25" x14ac:dyDescent="0.45">
      <c r="A24" s="50" t="s">
        <v>36</v>
      </c>
      <c r="B24" s="51" t="s">
        <v>37</v>
      </c>
      <c r="C24" s="60">
        <v>10000000</v>
      </c>
      <c r="D24" s="53">
        <f t="shared" si="1"/>
        <v>11000000</v>
      </c>
      <c r="E24" s="53">
        <f t="shared" si="2"/>
        <v>110000000</v>
      </c>
      <c r="F24" s="61">
        <v>0.2</v>
      </c>
      <c r="G24" s="62">
        <f t="shared" si="3"/>
        <v>8800000</v>
      </c>
      <c r="H24" s="62">
        <f t="shared" si="4"/>
        <v>8800000</v>
      </c>
      <c r="I24" s="63">
        <f t="shared" si="5"/>
        <v>88000000</v>
      </c>
      <c r="J24" s="57">
        <f t="shared" ref="J24:J25" si="12">J8</f>
        <v>10</v>
      </c>
      <c r="K24" s="90">
        <v>0.31</v>
      </c>
      <c r="L24" s="98">
        <f t="shared" si="6"/>
        <v>27280000</v>
      </c>
      <c r="M24" s="90">
        <v>0.1</v>
      </c>
      <c r="N24" s="90">
        <v>0.15</v>
      </c>
      <c r="O24" s="90">
        <f t="shared" si="7"/>
        <v>0.56000000000000005</v>
      </c>
      <c r="P24" s="94">
        <f t="shared" si="8"/>
        <v>0.43999999999999995</v>
      </c>
      <c r="Q24" s="94"/>
      <c r="R24" s="94"/>
      <c r="S24" s="104">
        <f t="shared" si="11"/>
        <v>38719999.999999993</v>
      </c>
      <c r="T24" s="65" t="s">
        <v>15</v>
      </c>
      <c r="U24" s="64" t="s">
        <v>35</v>
      </c>
    </row>
    <row r="25" spans="1:21" s="16" customFormat="1" ht="17.25" x14ac:dyDescent="0.45">
      <c r="A25" s="50" t="s">
        <v>56</v>
      </c>
      <c r="B25" s="51" t="s">
        <v>11</v>
      </c>
      <c r="C25" s="60">
        <v>15000000</v>
      </c>
      <c r="D25" s="53">
        <f t="shared" si="1"/>
        <v>16500000</v>
      </c>
      <c r="E25" s="53">
        <f t="shared" si="2"/>
        <v>165000000</v>
      </c>
      <c r="F25" s="61">
        <v>0.2</v>
      </c>
      <c r="G25" s="62">
        <f t="shared" si="3"/>
        <v>13200000</v>
      </c>
      <c r="H25" s="62">
        <f t="shared" si="4"/>
        <v>13200000</v>
      </c>
      <c r="I25" s="63">
        <f t="shared" si="5"/>
        <v>132000000</v>
      </c>
      <c r="J25" s="57">
        <f t="shared" si="12"/>
        <v>10</v>
      </c>
      <c r="K25" s="90">
        <v>0.25</v>
      </c>
      <c r="L25" s="98">
        <f t="shared" si="6"/>
        <v>33000000</v>
      </c>
      <c r="M25" s="90">
        <v>0.1</v>
      </c>
      <c r="N25" s="90">
        <v>0.15</v>
      </c>
      <c r="O25" s="90">
        <f t="shared" si="7"/>
        <v>0.5</v>
      </c>
      <c r="P25" s="94">
        <f t="shared" si="8"/>
        <v>0.5</v>
      </c>
      <c r="Q25" s="94"/>
      <c r="R25" s="94"/>
      <c r="S25" s="104">
        <f t="shared" si="11"/>
        <v>66000000</v>
      </c>
      <c r="T25" s="65" t="s">
        <v>15</v>
      </c>
      <c r="U25" s="64" t="s">
        <v>35</v>
      </c>
    </row>
  </sheetData>
  <mergeCells count="2">
    <mergeCell ref="A6:J6"/>
    <mergeCell ref="A1:I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showGridLines="0" tabSelected="1" zoomScaleNormal="100" workbookViewId="0">
      <selection activeCell="Q17" sqref="Q17"/>
    </sheetView>
  </sheetViews>
  <sheetFormatPr defaultColWidth="9.25" defaultRowHeight="13.5" x14ac:dyDescent="0.35"/>
  <cols>
    <col min="1" max="1" width="24.375" style="19" customWidth="1"/>
    <col min="2" max="2" width="12" style="19" customWidth="1"/>
    <col min="3" max="4" width="17.5" style="19" hidden="1" customWidth="1"/>
    <col min="5" max="5" width="17" style="19" hidden="1" customWidth="1"/>
    <col min="6" max="6" width="0" style="19" hidden="1" customWidth="1"/>
    <col min="7" max="8" width="17.75" style="19" hidden="1" customWidth="1"/>
    <col min="9" max="9" width="22.5" style="19" customWidth="1"/>
    <col min="10" max="10" width="5" style="19" customWidth="1"/>
    <col min="11" max="11" width="7.25" style="19" customWidth="1"/>
    <col min="12" max="12" width="13.5" style="19" customWidth="1"/>
    <col min="13" max="13" width="7.25" style="19" customWidth="1"/>
    <col min="14" max="16" width="10.125" style="19" customWidth="1"/>
    <col min="17" max="17" width="15.1875" style="19" customWidth="1"/>
    <col min="18" max="18" width="10.375" style="19" customWidth="1"/>
    <col min="19" max="19" width="37.5" style="19" customWidth="1"/>
    <col min="20" max="22" width="23.25" style="19" customWidth="1"/>
    <col min="23" max="16384" width="9.25" style="19"/>
  </cols>
  <sheetData>
    <row r="1" spans="1:19" x14ac:dyDescent="0.35">
      <c r="A1" s="106"/>
      <c r="B1" s="106"/>
      <c r="C1" s="106"/>
      <c r="D1" s="106"/>
      <c r="E1" s="106"/>
      <c r="F1" s="106"/>
      <c r="G1" s="106"/>
      <c r="H1" s="106"/>
      <c r="I1" s="106"/>
      <c r="J1" s="106"/>
    </row>
    <row r="2" spans="1:19" x14ac:dyDescent="0.35">
      <c r="A2" s="106"/>
      <c r="B2" s="106"/>
      <c r="C2" s="106"/>
      <c r="D2" s="106"/>
      <c r="E2" s="106"/>
      <c r="F2" s="106"/>
      <c r="G2" s="106"/>
      <c r="H2" s="106"/>
      <c r="I2" s="106"/>
      <c r="J2" s="106"/>
    </row>
    <row r="3" spans="1:19" x14ac:dyDescent="0.35">
      <c r="A3" s="106"/>
      <c r="B3" s="106"/>
      <c r="C3" s="106"/>
      <c r="D3" s="106"/>
      <c r="E3" s="106"/>
      <c r="F3" s="106"/>
      <c r="G3" s="106"/>
      <c r="H3" s="106"/>
      <c r="I3" s="106"/>
      <c r="J3" s="106"/>
    </row>
    <row r="6" spans="1:19" s="16" customFormat="1" ht="15" x14ac:dyDescent="0.4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80"/>
      <c r="L6" s="80"/>
      <c r="M6" s="80"/>
      <c r="N6" s="80"/>
      <c r="O6" s="80"/>
      <c r="P6" s="80"/>
      <c r="Q6" s="80"/>
    </row>
    <row r="7" spans="1:19" s="16" customFormat="1" ht="13.9" x14ac:dyDescent="0.4">
      <c r="A7" s="20" t="s">
        <v>1</v>
      </c>
      <c r="B7" s="20" t="s">
        <v>2</v>
      </c>
      <c r="C7" s="21" t="s">
        <v>3</v>
      </c>
      <c r="D7" s="21" t="s">
        <v>3</v>
      </c>
      <c r="E7" s="21" t="s">
        <v>40</v>
      </c>
      <c r="F7" s="22" t="s">
        <v>5</v>
      </c>
      <c r="G7" s="23" t="s">
        <v>6</v>
      </c>
      <c r="H7" s="23" t="s">
        <v>6</v>
      </c>
      <c r="I7" s="21" t="s">
        <v>41</v>
      </c>
      <c r="J7" s="20">
        <v>8</v>
      </c>
      <c r="K7" s="81" t="s">
        <v>59</v>
      </c>
      <c r="L7" s="81" t="s">
        <v>67</v>
      </c>
      <c r="M7" s="81" t="s">
        <v>58</v>
      </c>
      <c r="N7" s="81" t="s">
        <v>62</v>
      </c>
      <c r="O7" s="81" t="s">
        <v>63</v>
      </c>
      <c r="P7" s="81" t="s">
        <v>64</v>
      </c>
      <c r="Q7" s="81" t="s">
        <v>68</v>
      </c>
      <c r="R7" s="12" t="s">
        <v>8</v>
      </c>
      <c r="S7" s="2" t="s">
        <v>9</v>
      </c>
    </row>
    <row r="8" spans="1:19" s="16" customFormat="1" ht="17.25" x14ac:dyDescent="0.45">
      <c r="A8" s="44" t="s">
        <v>10</v>
      </c>
      <c r="B8" s="24" t="s">
        <v>11</v>
      </c>
      <c r="C8" s="25">
        <v>2500000</v>
      </c>
      <c r="D8" s="25">
        <f>C8+(C8*10%)</f>
        <v>2750000</v>
      </c>
      <c r="E8" s="25">
        <f>D8*J8</f>
        <v>22000000</v>
      </c>
      <c r="F8" s="26">
        <v>0.15</v>
      </c>
      <c r="G8" s="27">
        <f>D8-(D8*F8)</f>
        <v>2337500</v>
      </c>
      <c r="H8" s="27">
        <f>ROUND(VALUE(G8),-5)</f>
        <v>2300000</v>
      </c>
      <c r="I8" s="38">
        <f>H8*J8</f>
        <v>18400000</v>
      </c>
      <c r="J8" s="28">
        <f t="shared" ref="J8:J21" si="0">J7</f>
        <v>8</v>
      </c>
      <c r="K8" s="83">
        <v>0.65</v>
      </c>
      <c r="L8" s="101">
        <f>I8*K8</f>
        <v>11960000</v>
      </c>
      <c r="M8" s="83">
        <v>0.1</v>
      </c>
      <c r="N8" s="83">
        <v>0.15</v>
      </c>
      <c r="O8" s="83">
        <f>K8+M8+N8</f>
        <v>0.9</v>
      </c>
      <c r="P8" s="91">
        <f>100%-O8</f>
        <v>9.9999999999999978E-2</v>
      </c>
      <c r="Q8" s="103">
        <f>I8*P8</f>
        <v>1839999.9999999995</v>
      </c>
      <c r="R8" s="27" t="s">
        <v>12</v>
      </c>
      <c r="S8" s="47" t="s">
        <v>13</v>
      </c>
    </row>
    <row r="9" spans="1:19" s="16" customFormat="1" ht="17.25" x14ac:dyDescent="0.45">
      <c r="A9" s="45" t="s">
        <v>14</v>
      </c>
      <c r="B9" s="29" t="s">
        <v>11</v>
      </c>
      <c r="C9" s="30">
        <v>3500000</v>
      </c>
      <c r="D9" s="25">
        <f t="shared" ref="D9:D25" si="1">C9+(C9*10%)</f>
        <v>3850000</v>
      </c>
      <c r="E9" s="25">
        <f t="shared" ref="E9:E25" si="2">D9*J9</f>
        <v>30800000</v>
      </c>
      <c r="F9" s="26">
        <v>0.15</v>
      </c>
      <c r="G9" s="27">
        <f t="shared" ref="G9:G25" si="3">D9-(D9*F9)</f>
        <v>3272500</v>
      </c>
      <c r="H9" s="27">
        <f t="shared" ref="H9:H25" si="4">ROUND(VALUE(G9),-5)</f>
        <v>3300000</v>
      </c>
      <c r="I9" s="38">
        <f t="shared" ref="I9:I25" si="5">H9*J9</f>
        <v>26400000</v>
      </c>
      <c r="J9" s="28">
        <f t="shared" si="0"/>
        <v>8</v>
      </c>
      <c r="K9" s="83">
        <v>0.55000000000000004</v>
      </c>
      <c r="L9" s="101">
        <f t="shared" ref="L9:L25" si="6">I9*K9</f>
        <v>14520000.000000002</v>
      </c>
      <c r="M9" s="83">
        <v>0.1</v>
      </c>
      <c r="N9" s="83">
        <v>0.15</v>
      </c>
      <c r="O9" s="83">
        <f t="shared" ref="O9:O25" si="7">K9+M9+N9</f>
        <v>0.8</v>
      </c>
      <c r="P9" s="91">
        <f t="shared" ref="P9:P25" si="8">100%-O9</f>
        <v>0.19999999999999996</v>
      </c>
      <c r="Q9" s="103">
        <f t="shared" ref="Q9:Q25" si="9">I9*P9</f>
        <v>5279999.9999999991</v>
      </c>
      <c r="R9" s="27" t="s">
        <v>15</v>
      </c>
      <c r="S9" s="47" t="s">
        <v>13</v>
      </c>
    </row>
    <row r="10" spans="1:19" s="16" customFormat="1" ht="17.25" x14ac:dyDescent="0.45">
      <c r="A10" s="45" t="s">
        <v>16</v>
      </c>
      <c r="B10" s="29" t="s">
        <v>11</v>
      </c>
      <c r="C10" s="30">
        <v>4000000</v>
      </c>
      <c r="D10" s="25">
        <f t="shared" si="1"/>
        <v>4400000</v>
      </c>
      <c r="E10" s="25">
        <f t="shared" si="2"/>
        <v>35200000</v>
      </c>
      <c r="F10" s="26">
        <v>0.15</v>
      </c>
      <c r="G10" s="27">
        <f t="shared" si="3"/>
        <v>3740000</v>
      </c>
      <c r="H10" s="27">
        <f t="shared" si="4"/>
        <v>3700000</v>
      </c>
      <c r="I10" s="38">
        <f t="shared" si="5"/>
        <v>29600000</v>
      </c>
      <c r="J10" s="28">
        <f t="shared" si="0"/>
        <v>8</v>
      </c>
      <c r="K10" s="83">
        <v>0.56000000000000005</v>
      </c>
      <c r="L10" s="101">
        <f t="shared" si="6"/>
        <v>16576000.000000002</v>
      </c>
      <c r="M10" s="83">
        <v>0.1</v>
      </c>
      <c r="N10" s="83">
        <v>0.15</v>
      </c>
      <c r="O10" s="83">
        <f t="shared" si="7"/>
        <v>0.81</v>
      </c>
      <c r="P10" s="91">
        <f t="shared" si="8"/>
        <v>0.18999999999999995</v>
      </c>
      <c r="Q10" s="103">
        <f t="shared" si="9"/>
        <v>5623999.9999999981</v>
      </c>
      <c r="R10" s="27" t="s">
        <v>17</v>
      </c>
      <c r="S10" s="47" t="s">
        <v>18</v>
      </c>
    </row>
    <row r="11" spans="1:19" s="16" customFormat="1" ht="17.25" x14ac:dyDescent="0.45">
      <c r="A11" s="45" t="s">
        <v>48</v>
      </c>
      <c r="B11" s="29" t="s">
        <v>27</v>
      </c>
      <c r="C11" s="43">
        <v>6000000</v>
      </c>
      <c r="D11" s="25">
        <f t="shared" si="1"/>
        <v>6600000</v>
      </c>
      <c r="E11" s="25">
        <f t="shared" si="2"/>
        <v>52800000</v>
      </c>
      <c r="F11" s="26">
        <v>0.15</v>
      </c>
      <c r="G11" s="27">
        <f t="shared" si="3"/>
        <v>5610000</v>
      </c>
      <c r="H11" s="27">
        <f t="shared" si="4"/>
        <v>5600000</v>
      </c>
      <c r="I11" s="38">
        <f t="shared" si="5"/>
        <v>44800000</v>
      </c>
      <c r="J11" s="28">
        <v>8</v>
      </c>
      <c r="K11" s="84">
        <v>0.43</v>
      </c>
      <c r="L11" s="101">
        <f t="shared" si="6"/>
        <v>19264000</v>
      </c>
      <c r="M11" s="83">
        <v>0.1</v>
      </c>
      <c r="N11" s="83">
        <v>0.15</v>
      </c>
      <c r="O11" s="83">
        <f t="shared" si="7"/>
        <v>0.68</v>
      </c>
      <c r="P11" s="91">
        <f t="shared" si="8"/>
        <v>0.31999999999999995</v>
      </c>
      <c r="Q11" s="103">
        <f t="shared" si="9"/>
        <v>14335999.999999998</v>
      </c>
      <c r="R11" s="58" t="s">
        <v>15</v>
      </c>
      <c r="S11" s="47" t="s">
        <v>49</v>
      </c>
    </row>
    <row r="12" spans="1:19" s="31" customFormat="1" ht="17.25" hidden="1" x14ac:dyDescent="0.45">
      <c r="A12" s="45" t="s">
        <v>19</v>
      </c>
      <c r="B12" s="29" t="s">
        <v>11</v>
      </c>
      <c r="C12" s="30">
        <v>6000000</v>
      </c>
      <c r="D12" s="25">
        <f t="shared" si="1"/>
        <v>6600000</v>
      </c>
      <c r="E12" s="25">
        <f t="shared" si="2"/>
        <v>52800000</v>
      </c>
      <c r="F12" s="26">
        <v>0.15</v>
      </c>
      <c r="G12" s="27">
        <f t="shared" si="3"/>
        <v>5610000</v>
      </c>
      <c r="H12" s="27">
        <f t="shared" si="4"/>
        <v>5600000</v>
      </c>
      <c r="I12" s="38">
        <f t="shared" si="5"/>
        <v>44800000</v>
      </c>
      <c r="J12" s="28">
        <f>J10</f>
        <v>8</v>
      </c>
      <c r="K12" s="28"/>
      <c r="L12" s="101">
        <f t="shared" si="6"/>
        <v>0</v>
      </c>
      <c r="M12" s="83">
        <v>0.1</v>
      </c>
      <c r="N12" s="83">
        <v>0.15</v>
      </c>
      <c r="O12" s="83">
        <f t="shared" si="7"/>
        <v>0.25</v>
      </c>
      <c r="P12" s="91">
        <f t="shared" si="8"/>
        <v>0.75</v>
      </c>
      <c r="Q12" s="103">
        <f t="shared" si="9"/>
        <v>33600000</v>
      </c>
      <c r="R12" s="27" t="s">
        <v>17</v>
      </c>
      <c r="S12" s="47" t="s">
        <v>20</v>
      </c>
    </row>
    <row r="13" spans="1:19" s="16" customFormat="1" ht="17.25" x14ac:dyDescent="0.45">
      <c r="A13" s="45" t="s">
        <v>21</v>
      </c>
      <c r="B13" s="29" t="s">
        <v>11</v>
      </c>
      <c r="C13" s="30">
        <v>7500000</v>
      </c>
      <c r="D13" s="25">
        <f t="shared" si="1"/>
        <v>8250000</v>
      </c>
      <c r="E13" s="25">
        <f t="shared" si="2"/>
        <v>66000000</v>
      </c>
      <c r="F13" s="26">
        <v>0.15</v>
      </c>
      <c r="G13" s="27">
        <f t="shared" si="3"/>
        <v>7012500</v>
      </c>
      <c r="H13" s="27">
        <f t="shared" si="4"/>
        <v>7000000</v>
      </c>
      <c r="I13" s="38">
        <f t="shared" si="5"/>
        <v>56000000</v>
      </c>
      <c r="J13" s="28">
        <f t="shared" si="0"/>
        <v>8</v>
      </c>
      <c r="K13" s="83">
        <v>0.35</v>
      </c>
      <c r="L13" s="101">
        <f t="shared" si="6"/>
        <v>19600000</v>
      </c>
      <c r="M13" s="83">
        <v>0.1</v>
      </c>
      <c r="N13" s="83">
        <v>0.15</v>
      </c>
      <c r="O13" s="83">
        <f t="shared" si="7"/>
        <v>0.6</v>
      </c>
      <c r="P13" s="91">
        <f t="shared" si="8"/>
        <v>0.4</v>
      </c>
      <c r="Q13" s="103">
        <f t="shared" si="9"/>
        <v>22400000</v>
      </c>
      <c r="R13" s="27" t="s">
        <v>15</v>
      </c>
      <c r="S13" s="47" t="s">
        <v>18</v>
      </c>
    </row>
    <row r="14" spans="1:19" s="16" customFormat="1" ht="17.25" x14ac:dyDescent="0.45">
      <c r="A14" s="45" t="s">
        <v>22</v>
      </c>
      <c r="B14" s="29" t="s">
        <v>11</v>
      </c>
      <c r="C14" s="30">
        <v>8500000</v>
      </c>
      <c r="D14" s="25">
        <f t="shared" si="1"/>
        <v>9350000</v>
      </c>
      <c r="E14" s="25">
        <f t="shared" si="2"/>
        <v>74800000</v>
      </c>
      <c r="F14" s="26">
        <v>0.15</v>
      </c>
      <c r="G14" s="27">
        <f t="shared" si="3"/>
        <v>7947500</v>
      </c>
      <c r="H14" s="27">
        <f t="shared" si="4"/>
        <v>7900000</v>
      </c>
      <c r="I14" s="38">
        <f t="shared" si="5"/>
        <v>63200000</v>
      </c>
      <c r="J14" s="28">
        <f t="shared" si="0"/>
        <v>8</v>
      </c>
      <c r="K14" s="83">
        <v>0.34</v>
      </c>
      <c r="L14" s="101">
        <f t="shared" si="6"/>
        <v>21488000</v>
      </c>
      <c r="M14" s="83">
        <v>0.1</v>
      </c>
      <c r="N14" s="83">
        <v>0.15</v>
      </c>
      <c r="O14" s="83">
        <f t="shared" si="7"/>
        <v>0.59000000000000008</v>
      </c>
      <c r="P14" s="91">
        <f t="shared" si="8"/>
        <v>0.40999999999999992</v>
      </c>
      <c r="Q14" s="103">
        <f t="shared" si="9"/>
        <v>25911999.999999996</v>
      </c>
      <c r="R14" s="27" t="s">
        <v>15</v>
      </c>
      <c r="S14" s="47" t="s">
        <v>20</v>
      </c>
    </row>
    <row r="15" spans="1:19" s="16" customFormat="1" ht="17.25" hidden="1" x14ac:dyDescent="0.45">
      <c r="A15" s="45" t="s">
        <v>50</v>
      </c>
      <c r="B15" s="29" t="s">
        <v>27</v>
      </c>
      <c r="C15" s="43">
        <f>9000000</f>
        <v>9000000</v>
      </c>
      <c r="D15" s="25">
        <f t="shared" si="1"/>
        <v>9900000</v>
      </c>
      <c r="E15" s="25">
        <f t="shared" si="2"/>
        <v>79200000</v>
      </c>
      <c r="F15" s="26">
        <v>0.15</v>
      </c>
      <c r="G15" s="27">
        <f t="shared" si="3"/>
        <v>8415000</v>
      </c>
      <c r="H15" s="27">
        <f t="shared" si="4"/>
        <v>8400000</v>
      </c>
      <c r="I15" s="38">
        <f t="shared" si="5"/>
        <v>67200000</v>
      </c>
      <c r="J15" s="28">
        <v>8</v>
      </c>
      <c r="K15" s="82"/>
      <c r="L15" s="101">
        <f t="shared" si="6"/>
        <v>0</v>
      </c>
      <c r="M15" s="83">
        <v>0.1</v>
      </c>
      <c r="N15" s="83">
        <v>0.15</v>
      </c>
      <c r="O15" s="83">
        <f t="shared" si="7"/>
        <v>0.25</v>
      </c>
      <c r="P15" s="91">
        <f t="shared" si="8"/>
        <v>0.75</v>
      </c>
      <c r="Q15" s="103">
        <f t="shared" si="9"/>
        <v>50400000</v>
      </c>
      <c r="R15" s="58" t="s">
        <v>15</v>
      </c>
      <c r="S15" s="47" t="s">
        <v>20</v>
      </c>
    </row>
    <row r="16" spans="1:19" s="16" customFormat="1" ht="17.25" x14ac:dyDescent="0.45">
      <c r="A16" s="45" t="s">
        <v>23</v>
      </c>
      <c r="B16" s="29" t="s">
        <v>11</v>
      </c>
      <c r="C16" s="30">
        <v>9000000</v>
      </c>
      <c r="D16" s="25">
        <f t="shared" si="1"/>
        <v>9900000</v>
      </c>
      <c r="E16" s="25">
        <f t="shared" si="2"/>
        <v>79200000</v>
      </c>
      <c r="F16" s="26">
        <v>0.15</v>
      </c>
      <c r="G16" s="27">
        <f t="shared" si="3"/>
        <v>8415000</v>
      </c>
      <c r="H16" s="27">
        <f t="shared" si="4"/>
        <v>8400000</v>
      </c>
      <c r="I16" s="38">
        <f t="shared" si="5"/>
        <v>67200000</v>
      </c>
      <c r="J16" s="28">
        <f>J14</f>
        <v>8</v>
      </c>
      <c r="K16" s="83">
        <v>0.32</v>
      </c>
      <c r="L16" s="101">
        <f t="shared" si="6"/>
        <v>21504000</v>
      </c>
      <c r="M16" s="83">
        <v>0.1</v>
      </c>
      <c r="N16" s="83">
        <v>0.15</v>
      </c>
      <c r="O16" s="83">
        <f t="shared" si="7"/>
        <v>0.57000000000000006</v>
      </c>
      <c r="P16" s="91">
        <f t="shared" si="8"/>
        <v>0.42999999999999994</v>
      </c>
      <c r="Q16" s="103">
        <f t="shared" si="9"/>
        <v>28895999.999999996</v>
      </c>
      <c r="R16" s="27" t="s">
        <v>17</v>
      </c>
      <c r="S16" s="47" t="s">
        <v>54</v>
      </c>
    </row>
    <row r="17" spans="1:19" s="16" customFormat="1" ht="17.25" x14ac:dyDescent="0.45">
      <c r="A17" s="45" t="s">
        <v>24</v>
      </c>
      <c r="B17" s="29" t="s">
        <v>11</v>
      </c>
      <c r="C17" s="30">
        <v>10000000</v>
      </c>
      <c r="D17" s="25">
        <f t="shared" si="1"/>
        <v>11000000</v>
      </c>
      <c r="E17" s="25">
        <f t="shared" si="2"/>
        <v>88000000</v>
      </c>
      <c r="F17" s="26">
        <v>0.15</v>
      </c>
      <c r="G17" s="27">
        <f t="shared" si="3"/>
        <v>9350000</v>
      </c>
      <c r="H17" s="27">
        <f t="shared" si="4"/>
        <v>9400000</v>
      </c>
      <c r="I17" s="38">
        <f t="shared" si="5"/>
        <v>75200000</v>
      </c>
      <c r="J17" s="28">
        <f t="shared" si="0"/>
        <v>8</v>
      </c>
      <c r="K17" s="83">
        <v>0.33</v>
      </c>
      <c r="L17" s="101">
        <f t="shared" si="6"/>
        <v>24816000</v>
      </c>
      <c r="M17" s="83">
        <v>0.1</v>
      </c>
      <c r="N17" s="83">
        <v>0.15</v>
      </c>
      <c r="O17" s="83">
        <f t="shared" si="7"/>
        <v>0.58000000000000007</v>
      </c>
      <c r="P17" s="91">
        <f t="shared" si="8"/>
        <v>0.41999999999999993</v>
      </c>
      <c r="Q17" s="103">
        <f t="shared" si="9"/>
        <v>31583999.999999996</v>
      </c>
      <c r="R17" s="27" t="s">
        <v>15</v>
      </c>
      <c r="S17" s="47" t="s">
        <v>51</v>
      </c>
    </row>
    <row r="18" spans="1:19" s="16" customFormat="1" ht="17.25" x14ac:dyDescent="0.45">
      <c r="A18" s="45" t="s">
        <v>26</v>
      </c>
      <c r="B18" s="29" t="s">
        <v>27</v>
      </c>
      <c r="C18" s="30">
        <v>11500000</v>
      </c>
      <c r="D18" s="25">
        <f t="shared" si="1"/>
        <v>12650000</v>
      </c>
      <c r="E18" s="25">
        <f t="shared" si="2"/>
        <v>101200000</v>
      </c>
      <c r="F18" s="26">
        <v>0.2</v>
      </c>
      <c r="G18" s="27">
        <f t="shared" si="3"/>
        <v>10120000</v>
      </c>
      <c r="H18" s="27">
        <f t="shared" si="4"/>
        <v>10100000</v>
      </c>
      <c r="I18" s="38">
        <f t="shared" si="5"/>
        <v>80800000</v>
      </c>
      <c r="J18" s="28">
        <f t="shared" si="0"/>
        <v>8</v>
      </c>
      <c r="K18" s="83">
        <v>0.34</v>
      </c>
      <c r="L18" s="101">
        <f t="shared" si="6"/>
        <v>27472000.000000004</v>
      </c>
      <c r="M18" s="83">
        <v>0.1</v>
      </c>
      <c r="N18" s="83">
        <v>0.15</v>
      </c>
      <c r="O18" s="83">
        <f t="shared" si="7"/>
        <v>0.59000000000000008</v>
      </c>
      <c r="P18" s="91">
        <f t="shared" si="8"/>
        <v>0.40999999999999992</v>
      </c>
      <c r="Q18" s="103">
        <f t="shared" si="9"/>
        <v>33127999.999999993</v>
      </c>
      <c r="R18" s="27" t="s">
        <v>28</v>
      </c>
      <c r="S18" s="47" t="s">
        <v>25</v>
      </c>
    </row>
    <row r="19" spans="1:19" s="16" customFormat="1" ht="17.25" x14ac:dyDescent="0.45">
      <c r="A19" s="45" t="s">
        <v>39</v>
      </c>
      <c r="B19" s="29" t="s">
        <v>30</v>
      </c>
      <c r="C19" s="30">
        <v>12000000</v>
      </c>
      <c r="D19" s="25">
        <f t="shared" si="1"/>
        <v>13200000</v>
      </c>
      <c r="E19" s="25">
        <f t="shared" si="2"/>
        <v>105600000</v>
      </c>
      <c r="F19" s="26">
        <v>0.2</v>
      </c>
      <c r="G19" s="27">
        <f t="shared" si="3"/>
        <v>10560000</v>
      </c>
      <c r="H19" s="27">
        <f t="shared" si="4"/>
        <v>10600000</v>
      </c>
      <c r="I19" s="38">
        <f t="shared" si="5"/>
        <v>84800000</v>
      </c>
      <c r="J19" s="28">
        <f t="shared" si="0"/>
        <v>8</v>
      </c>
      <c r="K19" s="83">
        <v>0.39</v>
      </c>
      <c r="L19" s="101">
        <f t="shared" si="6"/>
        <v>33072000</v>
      </c>
      <c r="M19" s="83">
        <v>0.1</v>
      </c>
      <c r="N19" s="83">
        <v>0.15</v>
      </c>
      <c r="O19" s="83">
        <f t="shared" si="7"/>
        <v>0.64</v>
      </c>
      <c r="P19" s="91">
        <f t="shared" si="8"/>
        <v>0.36</v>
      </c>
      <c r="Q19" s="103">
        <f t="shared" si="9"/>
        <v>30528000</v>
      </c>
      <c r="R19" s="27" t="s">
        <v>31</v>
      </c>
      <c r="S19" s="47" t="s">
        <v>25</v>
      </c>
    </row>
    <row r="20" spans="1:19" s="16" customFormat="1" ht="17.25" x14ac:dyDescent="0.45">
      <c r="A20" s="45" t="s">
        <v>32</v>
      </c>
      <c r="B20" s="29" t="s">
        <v>30</v>
      </c>
      <c r="C20" s="30">
        <v>14000000</v>
      </c>
      <c r="D20" s="25">
        <f t="shared" si="1"/>
        <v>15400000</v>
      </c>
      <c r="E20" s="25">
        <f t="shared" si="2"/>
        <v>123200000</v>
      </c>
      <c r="F20" s="26">
        <v>0.2</v>
      </c>
      <c r="G20" s="27">
        <f t="shared" si="3"/>
        <v>12320000</v>
      </c>
      <c r="H20" s="27">
        <f t="shared" si="4"/>
        <v>12300000</v>
      </c>
      <c r="I20" s="38">
        <f t="shared" si="5"/>
        <v>98400000</v>
      </c>
      <c r="J20" s="28">
        <f t="shared" si="0"/>
        <v>8</v>
      </c>
      <c r="K20" s="83">
        <v>0.36</v>
      </c>
      <c r="L20" s="101">
        <f t="shared" si="6"/>
        <v>35424000</v>
      </c>
      <c r="M20" s="83">
        <v>0.1</v>
      </c>
      <c r="N20" s="83">
        <v>0.15</v>
      </c>
      <c r="O20" s="83">
        <f t="shared" si="7"/>
        <v>0.61</v>
      </c>
      <c r="P20" s="91">
        <f t="shared" si="8"/>
        <v>0.39</v>
      </c>
      <c r="Q20" s="103">
        <f t="shared" si="9"/>
        <v>38376000</v>
      </c>
      <c r="R20" s="27" t="s">
        <v>31</v>
      </c>
      <c r="S20" s="47" t="s">
        <v>33</v>
      </c>
    </row>
    <row r="21" spans="1:19" s="16" customFormat="1" ht="17.25" x14ac:dyDescent="0.45">
      <c r="A21" s="45" t="s">
        <v>53</v>
      </c>
      <c r="B21" s="29" t="s">
        <v>30</v>
      </c>
      <c r="C21" s="30">
        <v>33000000</v>
      </c>
      <c r="D21" s="25">
        <f t="shared" si="1"/>
        <v>36300000</v>
      </c>
      <c r="E21" s="25">
        <f t="shared" si="2"/>
        <v>290400000</v>
      </c>
      <c r="F21" s="26">
        <v>0.15</v>
      </c>
      <c r="G21" s="27">
        <f t="shared" si="3"/>
        <v>30855000</v>
      </c>
      <c r="H21" s="27">
        <f t="shared" si="4"/>
        <v>30900000</v>
      </c>
      <c r="I21" s="38">
        <f t="shared" si="5"/>
        <v>247200000</v>
      </c>
      <c r="J21" s="28">
        <f t="shared" si="0"/>
        <v>8</v>
      </c>
      <c r="K21" s="83">
        <v>0.27</v>
      </c>
      <c r="L21" s="101">
        <f t="shared" si="6"/>
        <v>66744000.000000007</v>
      </c>
      <c r="M21" s="83">
        <v>0.1</v>
      </c>
      <c r="N21" s="83">
        <v>0.15</v>
      </c>
      <c r="O21" s="83">
        <f t="shared" si="7"/>
        <v>0.52</v>
      </c>
      <c r="P21" s="91">
        <f t="shared" si="8"/>
        <v>0.48</v>
      </c>
      <c r="Q21" s="103">
        <f t="shared" si="9"/>
        <v>118656000</v>
      </c>
      <c r="R21" s="27" t="s">
        <v>31</v>
      </c>
      <c r="S21" s="47" t="s">
        <v>33</v>
      </c>
    </row>
    <row r="22" spans="1:19" s="16" customFormat="1" ht="17.25" x14ac:dyDescent="0.45">
      <c r="A22" s="14"/>
      <c r="B22" s="14"/>
      <c r="C22" s="15"/>
      <c r="D22" s="25"/>
      <c r="E22" s="25"/>
      <c r="F22" s="17"/>
      <c r="G22" s="27"/>
      <c r="H22" s="27"/>
      <c r="I22" s="38"/>
      <c r="J22" s="13"/>
      <c r="K22" s="13"/>
      <c r="L22" s="101"/>
      <c r="M22" s="13"/>
      <c r="N22" s="13"/>
      <c r="O22" s="83"/>
      <c r="P22" s="91"/>
      <c r="Q22" s="103"/>
      <c r="R22" s="18"/>
      <c r="S22" s="18"/>
    </row>
    <row r="23" spans="1:19" s="16" customFormat="1" ht="17.25" x14ac:dyDescent="0.45">
      <c r="A23" s="50" t="s">
        <v>34</v>
      </c>
      <c r="B23" s="51" t="s">
        <v>11</v>
      </c>
      <c r="C23" s="60">
        <v>8000000</v>
      </c>
      <c r="D23" s="53">
        <f t="shared" si="1"/>
        <v>8800000</v>
      </c>
      <c r="E23" s="53">
        <f t="shared" si="2"/>
        <v>70400000</v>
      </c>
      <c r="F23" s="61">
        <v>0.1</v>
      </c>
      <c r="G23" s="62">
        <f t="shared" si="3"/>
        <v>7920000</v>
      </c>
      <c r="H23" s="62">
        <f t="shared" si="4"/>
        <v>7900000</v>
      </c>
      <c r="I23" s="63">
        <f t="shared" si="5"/>
        <v>63200000</v>
      </c>
      <c r="J23" s="57">
        <f>J7</f>
        <v>8</v>
      </c>
      <c r="K23" s="85">
        <v>0.34</v>
      </c>
      <c r="L23" s="102">
        <f t="shared" si="6"/>
        <v>21488000</v>
      </c>
      <c r="M23" s="85">
        <v>0.1</v>
      </c>
      <c r="N23" s="85">
        <v>0.15</v>
      </c>
      <c r="O23" s="85">
        <f t="shared" si="7"/>
        <v>0.59000000000000008</v>
      </c>
      <c r="P23" s="92">
        <f t="shared" si="8"/>
        <v>0.40999999999999992</v>
      </c>
      <c r="Q23" s="103">
        <f t="shared" si="9"/>
        <v>25911999.999999996</v>
      </c>
      <c r="R23" s="64" t="s">
        <v>15</v>
      </c>
      <c r="S23" s="64" t="s">
        <v>52</v>
      </c>
    </row>
    <row r="24" spans="1:19" s="16" customFormat="1" ht="17.25" x14ac:dyDescent="0.45">
      <c r="A24" s="50" t="s">
        <v>36</v>
      </c>
      <c r="B24" s="51" t="s">
        <v>37</v>
      </c>
      <c r="C24" s="60">
        <v>10000000</v>
      </c>
      <c r="D24" s="53">
        <f t="shared" si="1"/>
        <v>11000000</v>
      </c>
      <c r="E24" s="53">
        <f t="shared" si="2"/>
        <v>88000000</v>
      </c>
      <c r="F24" s="61">
        <v>0.1</v>
      </c>
      <c r="G24" s="62">
        <f t="shared" si="3"/>
        <v>9900000</v>
      </c>
      <c r="H24" s="62">
        <f t="shared" si="4"/>
        <v>9900000</v>
      </c>
      <c r="I24" s="63">
        <f t="shared" si="5"/>
        <v>79200000</v>
      </c>
      <c r="J24" s="57">
        <f t="shared" ref="J24:J25" si="10">J8</f>
        <v>8</v>
      </c>
      <c r="K24" s="85">
        <v>0.27</v>
      </c>
      <c r="L24" s="102">
        <f t="shared" si="6"/>
        <v>21384000</v>
      </c>
      <c r="M24" s="85">
        <v>0.1</v>
      </c>
      <c r="N24" s="85">
        <v>0.15</v>
      </c>
      <c r="O24" s="85">
        <f t="shared" si="7"/>
        <v>0.52</v>
      </c>
      <c r="P24" s="92">
        <f t="shared" si="8"/>
        <v>0.48</v>
      </c>
      <c r="Q24" s="103">
        <f t="shared" si="9"/>
        <v>38016000</v>
      </c>
      <c r="R24" s="64" t="s">
        <v>15</v>
      </c>
      <c r="S24" s="64" t="s">
        <v>35</v>
      </c>
    </row>
    <row r="25" spans="1:19" s="16" customFormat="1" ht="17.25" x14ac:dyDescent="0.45">
      <c r="A25" s="50" t="s">
        <v>56</v>
      </c>
      <c r="B25" s="51" t="s">
        <v>11</v>
      </c>
      <c r="C25" s="60">
        <v>15000000</v>
      </c>
      <c r="D25" s="53">
        <f t="shared" si="1"/>
        <v>16500000</v>
      </c>
      <c r="E25" s="53">
        <f t="shared" si="2"/>
        <v>132000000</v>
      </c>
      <c r="F25" s="61">
        <v>0.1</v>
      </c>
      <c r="G25" s="62">
        <f t="shared" si="3"/>
        <v>14850000</v>
      </c>
      <c r="H25" s="62">
        <f t="shared" si="4"/>
        <v>14900000</v>
      </c>
      <c r="I25" s="63">
        <f t="shared" si="5"/>
        <v>119200000</v>
      </c>
      <c r="J25" s="57">
        <f t="shared" si="10"/>
        <v>8</v>
      </c>
      <c r="K25" s="85">
        <v>0.25</v>
      </c>
      <c r="L25" s="102">
        <f t="shared" si="6"/>
        <v>29800000</v>
      </c>
      <c r="M25" s="85">
        <v>0.1</v>
      </c>
      <c r="N25" s="85">
        <v>0.15</v>
      </c>
      <c r="O25" s="85">
        <f t="shared" si="7"/>
        <v>0.5</v>
      </c>
      <c r="P25" s="92">
        <f t="shared" si="8"/>
        <v>0.5</v>
      </c>
      <c r="Q25" s="103">
        <f t="shared" si="9"/>
        <v>59600000</v>
      </c>
      <c r="R25" s="64" t="s">
        <v>15</v>
      </c>
      <c r="S25" s="64" t="s">
        <v>35</v>
      </c>
    </row>
  </sheetData>
  <mergeCells count="2">
    <mergeCell ref="A6:J6"/>
    <mergeCell ref="A1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Combo 20</vt:lpstr>
      <vt:lpstr>Combo 16</vt:lpstr>
      <vt:lpstr>10 răng</vt:lpstr>
      <vt:lpstr>8 răng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Hiền Nguyễn Thanh</cp:lastModifiedBy>
  <dcterms:created xsi:type="dcterms:W3CDTF">2024-06-22T06:30:12Z</dcterms:created>
  <dcterms:modified xsi:type="dcterms:W3CDTF">2025-06-19T08:31:35Z</dcterms:modified>
</cp:coreProperties>
</file>