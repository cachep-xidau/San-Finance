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enn\OneDrive\Máy tính\Bảng giá 12062025\"/>
    </mc:Choice>
  </mc:AlternateContent>
  <xr:revisionPtr revIDLastSave="0" documentId="13_ncr:1_{F2B6BD7A-4D31-4EFE-8997-CA2E6B413A3C}" xr6:coauthVersionLast="47" xr6:coauthVersionMax="47" xr10:uidLastSave="{00000000-0000-0000-0000-000000000000}"/>
  <bookViews>
    <workbookView xWindow="-98" yWindow="-98" windowWidth="21795" windowHeight="12975" activeTab="1" xr2:uid="{A4F3086B-3E38-B143-870A-203038982AE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2" l="1"/>
  <c r="M21" i="2"/>
  <c r="L20" i="2"/>
  <c r="L21" i="2"/>
  <c r="K20" i="2"/>
  <c r="K21" i="2"/>
  <c r="H20" i="2"/>
  <c r="H21" i="2"/>
  <c r="G20" i="2"/>
  <c r="G21" i="2"/>
  <c r="G9" i="2"/>
  <c r="H9" i="2" s="1"/>
  <c r="K9" i="2" s="1"/>
  <c r="L9" i="2" s="1"/>
  <c r="M9" i="2" s="1"/>
  <c r="G8" i="2"/>
  <c r="H8" i="2" s="1"/>
  <c r="K8" i="2" s="1"/>
  <c r="L8" i="2" s="1"/>
  <c r="M8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2" i="2"/>
  <c r="H22" i="2" s="1"/>
  <c r="G23" i="2"/>
  <c r="H23" i="2" s="1"/>
  <c r="G3" i="2" l="1"/>
  <c r="H3" i="2" s="1"/>
  <c r="G4" i="2"/>
  <c r="H4" i="2" s="1"/>
  <c r="G5" i="2"/>
  <c r="H5" i="2" s="1"/>
  <c r="G6" i="2"/>
  <c r="H6" i="2" s="1"/>
  <c r="G7" i="2"/>
  <c r="H7" i="2" s="1"/>
  <c r="G10" i="2"/>
  <c r="H10" i="2" s="1"/>
  <c r="G11" i="2"/>
  <c r="H11" i="2" s="1"/>
  <c r="G2" i="2"/>
  <c r="H2" i="2" s="1"/>
  <c r="K23" i="2" l="1"/>
  <c r="L23" i="2" s="1"/>
  <c r="M23" i="2" s="1"/>
  <c r="K22" i="2"/>
  <c r="L22" i="2" s="1"/>
  <c r="M22" i="2" s="1"/>
  <c r="K19" i="2"/>
  <c r="L19" i="2" s="1"/>
  <c r="M19" i="2" s="1"/>
  <c r="K18" i="2"/>
  <c r="L18" i="2" s="1"/>
  <c r="M18" i="2" s="1"/>
  <c r="K17" i="2"/>
  <c r="L17" i="2" s="1"/>
  <c r="M17" i="2" s="1"/>
  <c r="K16" i="2"/>
  <c r="L16" i="2" s="1"/>
  <c r="M16" i="2" s="1"/>
  <c r="K15" i="2"/>
  <c r="L15" i="2" s="1"/>
  <c r="M15" i="2" s="1"/>
  <c r="K14" i="2"/>
  <c r="L14" i="2" s="1"/>
  <c r="M14" i="2" s="1"/>
  <c r="K3" i="2"/>
  <c r="L3" i="2" s="1"/>
  <c r="M3" i="2" s="1"/>
  <c r="K4" i="2"/>
  <c r="L4" i="2" s="1"/>
  <c r="M4" i="2" s="1"/>
  <c r="K5" i="2"/>
  <c r="L5" i="2" s="1"/>
  <c r="M5" i="2" s="1"/>
  <c r="K6" i="2"/>
  <c r="L6" i="2" s="1"/>
  <c r="M6" i="2" s="1"/>
  <c r="K7" i="2"/>
  <c r="L7" i="2" s="1"/>
  <c r="M7" i="2" s="1"/>
  <c r="K10" i="2"/>
  <c r="L10" i="2" s="1"/>
  <c r="M10" i="2" s="1"/>
  <c r="K11" i="2"/>
  <c r="L11" i="2" s="1"/>
  <c r="M11" i="2" s="1"/>
  <c r="K2" i="2"/>
  <c r="L2" i="2" s="1"/>
  <c r="M2" i="2" s="1"/>
  <c r="F44" i="1"/>
  <c r="F45" i="1"/>
  <c r="F46" i="1"/>
  <c r="F47" i="1"/>
  <c r="F48" i="1"/>
  <c r="F49" i="1"/>
  <c r="F38" i="1"/>
  <c r="F39" i="1"/>
  <c r="F40" i="1"/>
  <c r="F41" i="1"/>
  <c r="F42" i="1"/>
  <c r="F43" i="1"/>
  <c r="F34" i="1"/>
  <c r="F35" i="1"/>
  <c r="F36" i="1"/>
  <c r="F37" i="1"/>
  <c r="F31" i="1"/>
  <c r="F32" i="1"/>
  <c r="F33" i="1"/>
  <c r="F28" i="1"/>
  <c r="F29" i="1"/>
  <c r="F30" i="1"/>
  <c r="F27" i="1"/>
  <c r="F25" i="1"/>
  <c r="F26" i="1"/>
  <c r="F24" i="1"/>
  <c r="F23" i="1"/>
  <c r="F22" i="1"/>
  <c r="F21" i="1"/>
  <c r="F11" i="1"/>
  <c r="F12" i="1"/>
  <c r="F13" i="1"/>
  <c r="F14" i="1"/>
  <c r="F15" i="1"/>
  <c r="F16" i="1"/>
  <c r="F17" i="1"/>
  <c r="F18" i="1"/>
  <c r="F19" i="1"/>
  <c r="F20" i="1"/>
  <c r="F6" i="1"/>
  <c r="F7" i="1"/>
  <c r="F8" i="1"/>
  <c r="F9" i="1"/>
  <c r="F10" i="1"/>
  <c r="F4" i="1"/>
  <c r="F5" i="1"/>
  <c r="F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2" i="1"/>
</calcChain>
</file>

<file path=xl/sharedStrings.xml><?xml version="1.0" encoding="utf-8"?>
<sst xmlns="http://schemas.openxmlformats.org/spreadsheetml/2006/main" count="192" uniqueCount="118">
  <si>
    <t>STT</t>
  </si>
  <si>
    <t>Sản Phẩm</t>
  </si>
  <si>
    <t>Đơn Giá</t>
  </si>
  <si>
    <t xml:space="preserve">Abutment Titan </t>
  </si>
  <si>
    <t>Abutment Titan sử dụng cho Implant cao cấp</t>
  </si>
  <si>
    <t>Abutment Sứ</t>
  </si>
  <si>
    <t>Abutment Sứ sử dụng cho Implant cao cấp</t>
  </si>
  <si>
    <t>Cylinder Multi</t>
  </si>
  <si>
    <t>Nâng xoang kín</t>
  </si>
  <si>
    <t>Nâng xoang hở</t>
  </si>
  <si>
    <t>Ghép xương vào ổ nhổ răng (không dùng màng)</t>
  </si>
  <si>
    <t>Ghép xương vào ổ nhổ răng (có dùng màng)</t>
  </si>
  <si>
    <t>Ghép xương theo chiều ngang mức 1</t>
  </si>
  <si>
    <t>Ghép xương theo chiều ngang mức 2</t>
  </si>
  <si>
    <t>Ghép xương theo chiều đứng</t>
  </si>
  <si>
    <t>Abutment tạm + răng nhựa tạm</t>
  </si>
  <si>
    <t>Nướu thẩm mỹ</t>
  </si>
  <si>
    <t>Thanh Hydrid đúc</t>
  </si>
  <si>
    <t>Thanh Hydrid Cad Cam</t>
  </si>
  <si>
    <t>Hàm tạm</t>
  </si>
  <si>
    <t xml:space="preserve">Răng nhựa tạm </t>
  </si>
  <si>
    <t>Phẫu thuật lấy trụ implant cũ</t>
  </si>
  <si>
    <t>Copping trụ thường</t>
  </si>
  <si>
    <t>Copping trụ cao cấp</t>
  </si>
  <si>
    <t>Healing trụ thường</t>
  </si>
  <si>
    <t>Healing trụ cao cấp</t>
  </si>
  <si>
    <t>Tiền mê</t>
  </si>
  <si>
    <t xml:space="preserve">All on 4 </t>
  </si>
  <si>
    <t>Biotem Titan</t>
  </si>
  <si>
    <t>Biotem full sứ</t>
  </si>
  <si>
    <t>Dentium Hàn Titan</t>
  </si>
  <si>
    <t>Dentium Hàn Full sứ</t>
  </si>
  <si>
    <t>Dentium Mỹ Titan</t>
  </si>
  <si>
    <t>Dentium Mỹ Full sứ</t>
  </si>
  <si>
    <t>All on 6</t>
  </si>
  <si>
    <t>Straumann Thuỵ Sĩ Titan</t>
  </si>
  <si>
    <t>Straumann Thuỵ Sĩ full sứ</t>
  </si>
  <si>
    <t>Trụ implant Biotem - bh 5 năm</t>
  </si>
  <si>
    <t>Trụ implant Biotem sứ - bh 5 năm</t>
  </si>
  <si>
    <t>Trụ implant Dentium Hàn Titan - bh 7 năm</t>
  </si>
  <si>
    <t>Trụ implant Dentium Hàn Full sứ - bh 7 năm</t>
  </si>
  <si>
    <t>Trụ implant Dentium Mỹ Titan - bh 25 năm</t>
  </si>
  <si>
    <t>Trụ implant Dentium Mỹ Full sứ - bh 25 năm</t>
  </si>
  <si>
    <t>Trụ implant Straumann Thuỵ Sĩ Titan - bh trọn đời</t>
  </si>
  <si>
    <t>Trụ implant Straumann Thuỵ Sĩ full sứ - bh trọn đời</t>
  </si>
  <si>
    <t>Giá niêm yết</t>
  </si>
  <si>
    <t>Đơn giá (VNĐ) 
Chưa bao gồm (ABUTMENT)</t>
  </si>
  <si>
    <t>Nhà sản xuất</t>
  </si>
  <si>
    <t>Hàn Quốc</t>
  </si>
  <si>
    <t>Mỹ</t>
  </si>
  <si>
    <t>Pháp</t>
  </si>
  <si>
    <t>Italia</t>
  </si>
  <si>
    <t>Thụy Sĩ</t>
  </si>
  <si>
    <t xml:space="preserve"> Thụy Sĩ </t>
  </si>
  <si>
    <t xml:space="preserve">Thụy Sĩ </t>
  </si>
  <si>
    <t>TiUltra</t>
  </si>
  <si>
    <t xml:space="preserve">Italia </t>
  </si>
  <si>
    <t>Tiền</t>
  </si>
  <si>
    <t>Chiếc</t>
  </si>
  <si>
    <t>Răng</t>
  </si>
  <si>
    <t>Phân hàm</t>
  </si>
  <si>
    <t>Thời gian
 bảo hành trụ Implant</t>
  </si>
  <si>
    <t>2 năm</t>
  </si>
  <si>
    <t>7 năm</t>
  </si>
  <si>
    <t>8 năm</t>
  </si>
  <si>
    <t>20 năm</t>
  </si>
  <si>
    <t>25 năm</t>
  </si>
  <si>
    <t>30 năm</t>
  </si>
  <si>
    <t>35 năm</t>
  </si>
  <si>
    <t>Trọn đời</t>
  </si>
  <si>
    <t>5 năm</t>
  </si>
  <si>
    <t>10 năm</t>
  </si>
  <si>
    <t xml:space="preserve">Răng sứ Titan trên Implant </t>
  </si>
  <si>
    <t>Việt Nam</t>
  </si>
  <si>
    <t>Đức</t>
  </si>
  <si>
    <t>15 năm</t>
  </si>
  <si>
    <t xml:space="preserve">10 năm </t>
  </si>
  <si>
    <t xml:space="preserve">Implant Biotem </t>
  </si>
  <si>
    <t xml:space="preserve">Implant Dentium </t>
  </si>
  <si>
    <t>Implant Dio</t>
  </si>
  <si>
    <t xml:space="preserve">Implant Osstem </t>
  </si>
  <si>
    <t>Implant Hiossen</t>
  </si>
  <si>
    <t xml:space="preserve">Implant Anthogyr </t>
  </si>
  <si>
    <t xml:space="preserve">Implant Megagen </t>
  </si>
  <si>
    <t>Implant Tekka Global D</t>
  </si>
  <si>
    <t xml:space="preserve">Implant JD </t>
  </si>
  <si>
    <t>Implant SIC</t>
  </si>
  <si>
    <t>Implant Neodent</t>
  </si>
  <si>
    <t xml:space="preserve">Implant Nobel Biocare Active </t>
  </si>
  <si>
    <t xml:space="preserve">Implant Kontact </t>
  </si>
  <si>
    <t>Implant  Traumann SLA</t>
  </si>
  <si>
    <t>Implant Straumann SL Active</t>
  </si>
  <si>
    <t xml:space="preserve">Implant Nobel TiUltra </t>
  </si>
  <si>
    <t xml:space="preserve">Implant chân bướm </t>
  </si>
  <si>
    <t xml:space="preserve">Implant Zygoma </t>
  </si>
  <si>
    <t xml:space="preserve">Răng sứ Cercon HT trên implant </t>
  </si>
  <si>
    <t>Răng sứ Ceramill Zolid  trên implant</t>
  </si>
  <si>
    <t xml:space="preserve">Răng sứ Nacera trên implant </t>
  </si>
  <si>
    <t>Răng sứ Lava trên implant</t>
  </si>
  <si>
    <t>Khuyến mãi</t>
  </si>
  <si>
    <t xml:space="preserve">Răng sứ trên Implant </t>
  </si>
  <si>
    <t>Cost</t>
  </si>
  <si>
    <t>Cost %</t>
  </si>
  <si>
    <t>All On 4</t>
  </si>
  <si>
    <t>VAT</t>
  </si>
  <si>
    <t>Giới thiệu</t>
  </si>
  <si>
    <t>Total</t>
  </si>
  <si>
    <t>Lợi nhuận</t>
  </si>
  <si>
    <t>All On 6</t>
  </si>
  <si>
    <t>Tiền còn lại</t>
  </si>
  <si>
    <t>Cost tiền</t>
  </si>
  <si>
    <t>Cost vật liệu</t>
  </si>
  <si>
    <t>Biến phí</t>
  </si>
  <si>
    <t>Ghi chú</t>
  </si>
  <si>
    <t>Cost tiền vật liệu 
+ biến phí</t>
  </si>
  <si>
    <t>Tiền lợi nhuận còn lại</t>
  </si>
  <si>
    <t>Trụ implant Neodent Thụy Sĩ  Titan - bh 35 năm</t>
  </si>
  <si>
    <t>Trụ implant Neodent Thụy Sĩ  Full sứ - bh 35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</si>
</sst>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.000_);_(* \(#,##0.000\);_(* &quot;-&quot;??_);_(@_)"/>
    <numFmt numFmtId="165" formatCode="_(* #,##0_);_(* \(#,##0\);_(* &quot;-&quot;??_);_(@_)"/>
  </numFmts>
  <fonts count="7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Arial"/>
      <family val="2"/>
      <charset val="163"/>
      <scheme val="minor"/>
    </font>
    <font>
      <b/>
      <sz val="16"/>
      <color rgb="FFFF0000"/>
      <name val="Arial"/>
      <family val="2"/>
      <charset val="163"/>
      <scheme val="minor"/>
    </font>
    <font>
      <b/>
      <sz val="14"/>
      <color rgb="FF002060"/>
      <name val="Arial"/>
      <family val="2"/>
      <charset val="163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1" xfId="0" applyFont="1" applyBorder="1"/>
    <xf numFmtId="0" fontId="3" fillId="3" borderId="1" xfId="0" applyFont="1" applyFill="1" applyBorder="1" applyAlignment="1">
      <alignment horizontal="left" vertical="center" wrapText="1"/>
    </xf>
    <xf numFmtId="41" fontId="3" fillId="0" borderId="1" xfId="1" applyFont="1" applyBorder="1" applyAlignment="1">
      <alignment horizontal="center" vertical="center" wrapText="1"/>
    </xf>
    <xf numFmtId="0" fontId="3" fillId="3" borderId="1" xfId="0" applyFont="1" applyFill="1" applyBorder="1"/>
    <xf numFmtId="41" fontId="3" fillId="0" borderId="1" xfId="1" applyFont="1" applyBorder="1"/>
    <xf numFmtId="41" fontId="0" fillId="0" borderId="0" xfId="0" applyNumberFormat="1"/>
    <xf numFmtId="41" fontId="0" fillId="0" borderId="0" xfId="1" applyFont="1"/>
    <xf numFmtId="0" fontId="0" fillId="0" borderId="1" xfId="0" applyBorder="1"/>
    <xf numFmtId="41" fontId="0" fillId="0" borderId="1" xfId="1" applyFont="1" applyBorder="1"/>
    <xf numFmtId="0" fontId="2" fillId="2" borderId="1" xfId="0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vertical="center"/>
    </xf>
    <xf numFmtId="9" fontId="0" fillId="0" borderId="1" xfId="1" applyNumberFormat="1" applyFont="1" applyBorder="1"/>
    <xf numFmtId="0" fontId="4" fillId="0" borderId="1" xfId="0" applyFont="1" applyBorder="1"/>
    <xf numFmtId="0" fontId="4" fillId="5" borderId="1" xfId="0" applyFont="1" applyFill="1" applyBorder="1" applyAlignment="1">
      <alignment horizontal="center"/>
    </xf>
    <xf numFmtId="41" fontId="4" fillId="5" borderId="1" xfId="1" applyFont="1" applyFill="1" applyBorder="1" applyAlignment="1">
      <alignment horizontal="center"/>
    </xf>
    <xf numFmtId="41" fontId="4" fillId="5" borderId="1" xfId="1" applyFont="1" applyFill="1" applyBorder="1"/>
    <xf numFmtId="9" fontId="5" fillId="0" borderId="1" xfId="1" applyNumberFormat="1" applyFont="1" applyBorder="1"/>
    <xf numFmtId="164" fontId="0" fillId="0" borderId="0" xfId="2" applyNumberFormat="1" applyFont="1" applyBorder="1"/>
    <xf numFmtId="41" fontId="4" fillId="5" borderId="0" xfId="1" applyFont="1" applyFill="1"/>
    <xf numFmtId="0" fontId="0" fillId="0" borderId="2" xfId="0" applyBorder="1"/>
    <xf numFmtId="0" fontId="4" fillId="5" borderId="2" xfId="0" applyFont="1" applyFill="1" applyBorder="1" applyAlignment="1">
      <alignment horizontal="center"/>
    </xf>
    <xf numFmtId="41" fontId="4" fillId="5" borderId="2" xfId="1" applyFont="1" applyFill="1" applyBorder="1" applyAlignment="1">
      <alignment horizontal="center"/>
    </xf>
    <xf numFmtId="41" fontId="4" fillId="5" borderId="2" xfId="1" applyFont="1" applyFill="1" applyBorder="1"/>
    <xf numFmtId="165" fontId="0" fillId="0" borderId="1" xfId="2" applyNumberFormat="1" applyFont="1" applyBorder="1"/>
    <xf numFmtId="41" fontId="0" fillId="0" borderId="5" xfId="1" applyFont="1" applyBorder="1"/>
    <xf numFmtId="41" fontId="4" fillId="5" borderId="2" xfId="1" applyFont="1" applyFill="1" applyBorder="1" applyAlignment="1">
      <alignment horizontal="center" wrapText="1"/>
    </xf>
    <xf numFmtId="165" fontId="0" fillId="0" borderId="5" xfId="2" applyNumberFormat="1" applyFont="1" applyBorder="1"/>
    <xf numFmtId="165" fontId="6" fillId="0" borderId="0" xfId="2" applyNumberFormat="1" applyFont="1" applyBorder="1"/>
    <xf numFmtId="165" fontId="6" fillId="0" borderId="1" xfId="2" applyNumberFormat="1" applyFont="1" applyBorder="1"/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3">
    <cellStyle name="Comma" xfId="2" builtinId="3"/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252412</xdr:colOff>
      <xdr:row>1</xdr:row>
      <xdr:rowOff>28575</xdr:rowOff>
    </xdr:from>
    <xdr:to>
      <xdr:col>19</xdr:col>
      <xdr:colOff>638192</xdr:colOff>
      <xdr:row>9</xdr:row>
      <xdr:rowOff>28590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C5E709-2D58-C99E-4D6D-FAA5D2B33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9750" y="600075"/>
          <a:ext cx="2214580" cy="20955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5EAF-5495-BE48-AB52-52CC3B776D00}">
  <dimension ref="A1:H51"/>
  <sheetViews>
    <sheetView topLeftCell="A20" workbookViewId="0">
      <selection activeCell="B45" sqref="B45"/>
    </sheetView>
  </sheetViews>
  <sheetFormatPr defaultColWidth="10.6640625" defaultRowHeight="27" customHeight="1" x14ac:dyDescent="0.4"/>
  <cols>
    <col min="1" max="1" width="6.33203125" customWidth="1"/>
    <col min="2" max="2" width="45.109375" customWidth="1"/>
    <col min="3" max="3" width="17.109375" hidden="1" customWidth="1"/>
    <col min="4" max="4" width="17.109375" customWidth="1"/>
    <col min="5" max="5" width="17.109375" hidden="1" customWidth="1"/>
    <col min="6" max="6" width="17.109375" customWidth="1"/>
    <col min="7" max="7" width="15.109375" customWidth="1"/>
    <col min="8" max="8" width="12.77734375" customWidth="1"/>
  </cols>
  <sheetData>
    <row r="1" spans="1:8" ht="59.85" customHeight="1" x14ac:dyDescent="0.4">
      <c r="A1" s="10" t="s">
        <v>0</v>
      </c>
      <c r="B1" s="10" t="s">
        <v>1</v>
      </c>
      <c r="C1" s="11" t="s">
        <v>2</v>
      </c>
      <c r="D1" s="11" t="s">
        <v>47</v>
      </c>
      <c r="E1" s="12" t="s">
        <v>46</v>
      </c>
      <c r="F1" s="12" t="s">
        <v>46</v>
      </c>
      <c r="G1" s="13" t="s">
        <v>61</v>
      </c>
      <c r="H1" s="14" t="s">
        <v>99</v>
      </c>
    </row>
    <row r="2" spans="1:8" ht="27" customHeight="1" x14ac:dyDescent="0.45">
      <c r="A2" s="1">
        <v>1</v>
      </c>
      <c r="B2" s="2" t="s">
        <v>77</v>
      </c>
      <c r="C2" s="3">
        <v>3900000</v>
      </c>
      <c r="D2" s="3" t="s">
        <v>48</v>
      </c>
      <c r="E2" s="3">
        <f>C2+(C2*10%)</f>
        <v>4290000</v>
      </c>
      <c r="F2" s="3">
        <f>ROUND(VALUE(E2),-5)</f>
        <v>4300000</v>
      </c>
      <c r="G2" s="8" t="s">
        <v>62</v>
      </c>
      <c r="H2" s="8"/>
    </row>
    <row r="3" spans="1:8" ht="27" customHeight="1" x14ac:dyDescent="0.45">
      <c r="A3" s="1">
        <v>2</v>
      </c>
      <c r="B3" s="2" t="s">
        <v>78</v>
      </c>
      <c r="C3" s="3">
        <v>6900000</v>
      </c>
      <c r="D3" s="3" t="s">
        <v>48</v>
      </c>
      <c r="E3" s="3">
        <f t="shared" ref="E3:E50" si="0">C3+(C3*10%)</f>
        <v>7590000</v>
      </c>
      <c r="F3" s="3">
        <f>ROUND(VALUE(E3),-5)</f>
        <v>7600000</v>
      </c>
      <c r="G3" s="8" t="s">
        <v>63</v>
      </c>
      <c r="H3" s="8"/>
    </row>
    <row r="4" spans="1:8" ht="27" customHeight="1" x14ac:dyDescent="0.45">
      <c r="A4" s="1">
        <v>3</v>
      </c>
      <c r="B4" s="2" t="s">
        <v>79</v>
      </c>
      <c r="C4" s="3">
        <v>7800000</v>
      </c>
      <c r="D4" s="3" t="s">
        <v>48</v>
      </c>
      <c r="E4" s="3">
        <f t="shared" si="0"/>
        <v>8580000</v>
      </c>
      <c r="F4" s="3">
        <f>ROUND(VALUE(E4),-5)</f>
        <v>8600000</v>
      </c>
      <c r="G4" s="8" t="s">
        <v>64</v>
      </c>
      <c r="H4" s="8"/>
    </row>
    <row r="5" spans="1:8" ht="27" customHeight="1" x14ac:dyDescent="0.45">
      <c r="A5" s="1">
        <v>4</v>
      </c>
      <c r="B5" s="2" t="s">
        <v>80</v>
      </c>
      <c r="C5" s="3">
        <v>9900000</v>
      </c>
      <c r="D5" s="3" t="s">
        <v>48</v>
      </c>
      <c r="E5" s="3">
        <f t="shared" si="0"/>
        <v>10890000</v>
      </c>
      <c r="F5" s="3">
        <f>ROUND(VALUE(E5),-5)</f>
        <v>10900000</v>
      </c>
      <c r="G5" s="8" t="s">
        <v>65</v>
      </c>
      <c r="H5" s="8"/>
    </row>
    <row r="6" spans="1:8" ht="27" customHeight="1" x14ac:dyDescent="0.45">
      <c r="A6" s="1">
        <v>5</v>
      </c>
      <c r="B6" s="2" t="s">
        <v>81</v>
      </c>
      <c r="C6" s="3">
        <v>11900000</v>
      </c>
      <c r="D6" s="3" t="s">
        <v>49</v>
      </c>
      <c r="E6" s="3">
        <f t="shared" si="0"/>
        <v>13090000</v>
      </c>
      <c r="F6" s="3">
        <f t="shared" ref="F6:F49" si="1">ROUND(VALUE(E6),-5)</f>
        <v>13100000</v>
      </c>
      <c r="G6" s="8" t="s">
        <v>65</v>
      </c>
      <c r="H6" s="8"/>
    </row>
    <row r="7" spans="1:8" ht="27" customHeight="1" x14ac:dyDescent="0.45">
      <c r="A7" s="1">
        <v>6</v>
      </c>
      <c r="B7" s="2" t="s">
        <v>82</v>
      </c>
      <c r="C7" s="3">
        <v>12000000</v>
      </c>
      <c r="D7" s="3" t="s">
        <v>50</v>
      </c>
      <c r="E7" s="3">
        <f t="shared" si="0"/>
        <v>13200000</v>
      </c>
      <c r="F7" s="3">
        <f t="shared" si="1"/>
        <v>13200000</v>
      </c>
      <c r="G7" s="8" t="s">
        <v>65</v>
      </c>
      <c r="H7" s="8"/>
    </row>
    <row r="8" spans="1:8" ht="27" customHeight="1" x14ac:dyDescent="0.45">
      <c r="A8" s="1">
        <v>7</v>
      </c>
      <c r="B8" s="2" t="s">
        <v>78</v>
      </c>
      <c r="C8" s="3">
        <v>12900000</v>
      </c>
      <c r="D8" s="3" t="s">
        <v>49</v>
      </c>
      <c r="E8" s="3">
        <f t="shared" si="0"/>
        <v>14190000</v>
      </c>
      <c r="F8" s="3">
        <f t="shared" si="1"/>
        <v>14200000</v>
      </c>
      <c r="G8" s="8" t="s">
        <v>66</v>
      </c>
      <c r="H8" s="8"/>
    </row>
    <row r="9" spans="1:8" ht="27" customHeight="1" x14ac:dyDescent="0.45">
      <c r="A9" s="1">
        <v>8</v>
      </c>
      <c r="B9" s="2" t="s">
        <v>83</v>
      </c>
      <c r="C9" s="3">
        <v>14900000</v>
      </c>
      <c r="D9" s="3" t="s">
        <v>48</v>
      </c>
      <c r="E9" s="3">
        <f t="shared" si="0"/>
        <v>16390000</v>
      </c>
      <c r="F9" s="3">
        <f t="shared" si="1"/>
        <v>16400000</v>
      </c>
      <c r="G9" s="8" t="s">
        <v>66</v>
      </c>
      <c r="H9" s="8"/>
    </row>
    <row r="10" spans="1:8" ht="27" customHeight="1" x14ac:dyDescent="0.45">
      <c r="A10" s="1">
        <v>9</v>
      </c>
      <c r="B10" s="2" t="s">
        <v>84</v>
      </c>
      <c r="C10" s="3">
        <v>12000000</v>
      </c>
      <c r="D10" s="3" t="s">
        <v>50</v>
      </c>
      <c r="E10" s="3">
        <f t="shared" si="0"/>
        <v>13200000</v>
      </c>
      <c r="F10" s="3">
        <f t="shared" si="1"/>
        <v>13200000</v>
      </c>
      <c r="G10" s="8" t="s">
        <v>67</v>
      </c>
      <c r="H10" s="8"/>
    </row>
    <row r="11" spans="1:8" ht="27" customHeight="1" x14ac:dyDescent="0.45">
      <c r="A11" s="1">
        <v>10</v>
      </c>
      <c r="B11" s="2" t="s">
        <v>85</v>
      </c>
      <c r="C11" s="3">
        <v>17900000</v>
      </c>
      <c r="D11" s="3" t="s">
        <v>51</v>
      </c>
      <c r="E11" s="3">
        <f t="shared" si="0"/>
        <v>19690000</v>
      </c>
      <c r="F11" s="3">
        <f t="shared" si="1"/>
        <v>19700000</v>
      </c>
      <c r="G11" s="8" t="s">
        <v>67</v>
      </c>
      <c r="H11" s="8"/>
    </row>
    <row r="12" spans="1:8" ht="27" customHeight="1" x14ac:dyDescent="0.45">
      <c r="A12" s="1">
        <v>11</v>
      </c>
      <c r="B12" s="2" t="s">
        <v>86</v>
      </c>
      <c r="C12" s="3">
        <v>18900000</v>
      </c>
      <c r="D12" s="3" t="s">
        <v>52</v>
      </c>
      <c r="E12" s="3">
        <f t="shared" si="0"/>
        <v>20790000</v>
      </c>
      <c r="F12" s="3">
        <f t="shared" si="1"/>
        <v>20800000</v>
      </c>
      <c r="G12" s="8" t="s">
        <v>68</v>
      </c>
      <c r="H12" s="8"/>
    </row>
    <row r="13" spans="1:8" ht="27" customHeight="1" x14ac:dyDescent="0.45">
      <c r="A13" s="1">
        <v>12</v>
      </c>
      <c r="B13" s="2" t="s">
        <v>87</v>
      </c>
      <c r="C13" s="3">
        <v>20000000</v>
      </c>
      <c r="D13" s="3" t="s">
        <v>53</v>
      </c>
      <c r="E13" s="3">
        <f t="shared" si="0"/>
        <v>22000000</v>
      </c>
      <c r="F13" s="3">
        <f t="shared" si="1"/>
        <v>22000000</v>
      </c>
      <c r="G13" s="8" t="s">
        <v>68</v>
      </c>
      <c r="H13" s="8"/>
    </row>
    <row r="14" spans="1:8" ht="27" customHeight="1" x14ac:dyDescent="0.45">
      <c r="A14" s="1">
        <v>13</v>
      </c>
      <c r="B14" s="2" t="s">
        <v>88</v>
      </c>
      <c r="C14" s="3">
        <v>21000000</v>
      </c>
      <c r="D14" s="3" t="s">
        <v>49</v>
      </c>
      <c r="E14" s="3">
        <f t="shared" si="0"/>
        <v>23100000</v>
      </c>
      <c r="F14" s="3">
        <f t="shared" si="1"/>
        <v>23100000</v>
      </c>
      <c r="G14" s="8" t="s">
        <v>68</v>
      </c>
      <c r="H14" s="8"/>
    </row>
    <row r="15" spans="1:8" ht="27" customHeight="1" x14ac:dyDescent="0.45">
      <c r="A15" s="1">
        <v>14</v>
      </c>
      <c r="B15" s="2" t="s">
        <v>89</v>
      </c>
      <c r="C15" s="3">
        <v>25000000</v>
      </c>
      <c r="D15" s="3" t="s">
        <v>50</v>
      </c>
      <c r="E15" s="3">
        <f t="shared" si="0"/>
        <v>27500000</v>
      </c>
      <c r="F15" s="3">
        <f t="shared" si="1"/>
        <v>27500000</v>
      </c>
      <c r="G15" s="8" t="s">
        <v>68</v>
      </c>
      <c r="H15" s="8"/>
    </row>
    <row r="16" spans="1:8" ht="27" customHeight="1" x14ac:dyDescent="0.45">
      <c r="A16" s="1">
        <v>15</v>
      </c>
      <c r="B16" s="2" t="s">
        <v>90</v>
      </c>
      <c r="C16" s="3">
        <v>21000000</v>
      </c>
      <c r="D16" s="3" t="s">
        <v>52</v>
      </c>
      <c r="E16" s="3">
        <f t="shared" si="0"/>
        <v>23100000</v>
      </c>
      <c r="F16" s="3">
        <f t="shared" si="1"/>
        <v>23100000</v>
      </c>
      <c r="G16" s="8" t="s">
        <v>69</v>
      </c>
      <c r="H16" s="8"/>
    </row>
    <row r="17" spans="1:8" ht="27" customHeight="1" x14ac:dyDescent="0.45">
      <c r="A17" s="1">
        <v>16</v>
      </c>
      <c r="B17" s="2" t="s">
        <v>91</v>
      </c>
      <c r="C17" s="3">
        <v>29900000</v>
      </c>
      <c r="D17" s="3" t="s">
        <v>54</v>
      </c>
      <c r="E17" s="3">
        <f t="shared" si="0"/>
        <v>32890000</v>
      </c>
      <c r="F17" s="3">
        <f t="shared" si="1"/>
        <v>32900000</v>
      </c>
      <c r="G17" s="8" t="s">
        <v>69</v>
      </c>
      <c r="H17" s="8"/>
    </row>
    <row r="18" spans="1:8" ht="27" customHeight="1" x14ac:dyDescent="0.45">
      <c r="A18" s="1">
        <v>17</v>
      </c>
      <c r="B18" s="2" t="s">
        <v>92</v>
      </c>
      <c r="C18" s="3">
        <v>29900000</v>
      </c>
      <c r="D18" s="3" t="s">
        <v>55</v>
      </c>
      <c r="E18" s="3">
        <f t="shared" si="0"/>
        <v>32890000</v>
      </c>
      <c r="F18" s="3">
        <f t="shared" si="1"/>
        <v>32900000</v>
      </c>
      <c r="G18" s="8" t="s">
        <v>49</v>
      </c>
      <c r="H18" s="8"/>
    </row>
    <row r="19" spans="1:8" ht="27" customHeight="1" x14ac:dyDescent="0.45">
      <c r="A19" s="1">
        <v>18</v>
      </c>
      <c r="B19" s="2" t="s">
        <v>93</v>
      </c>
      <c r="C19" s="3">
        <v>35000000</v>
      </c>
      <c r="D19" s="3" t="s">
        <v>56</v>
      </c>
      <c r="E19" s="3">
        <f t="shared" si="0"/>
        <v>38500000</v>
      </c>
      <c r="F19" s="3">
        <f t="shared" si="1"/>
        <v>38500000</v>
      </c>
      <c r="G19" s="8" t="s">
        <v>69</v>
      </c>
      <c r="H19" s="8"/>
    </row>
    <row r="20" spans="1:8" ht="27" customHeight="1" x14ac:dyDescent="0.45">
      <c r="A20" s="1">
        <v>19</v>
      </c>
      <c r="B20" s="2" t="s">
        <v>94</v>
      </c>
      <c r="C20" s="3">
        <v>45000000</v>
      </c>
      <c r="D20" s="3" t="s">
        <v>56</v>
      </c>
      <c r="E20" s="3">
        <f t="shared" si="0"/>
        <v>49500000</v>
      </c>
      <c r="F20" s="3">
        <f t="shared" si="1"/>
        <v>49500000</v>
      </c>
      <c r="G20" s="8" t="s">
        <v>69</v>
      </c>
      <c r="H20" s="8"/>
    </row>
    <row r="21" spans="1:8" ht="27" customHeight="1" x14ac:dyDescent="0.45">
      <c r="A21" s="1">
        <v>20</v>
      </c>
      <c r="B21" s="4" t="s">
        <v>3</v>
      </c>
      <c r="C21" s="5">
        <v>4000000</v>
      </c>
      <c r="D21" s="3" t="s">
        <v>58</v>
      </c>
      <c r="E21" s="3">
        <f t="shared" si="0"/>
        <v>4400000</v>
      </c>
      <c r="F21" s="3">
        <f t="shared" si="1"/>
        <v>4400000</v>
      </c>
      <c r="G21" s="8"/>
      <c r="H21" s="8"/>
    </row>
    <row r="22" spans="1:8" ht="27" customHeight="1" x14ac:dyDescent="0.45">
      <c r="A22" s="1">
        <v>21</v>
      </c>
      <c r="B22" s="4" t="s">
        <v>4</v>
      </c>
      <c r="C22" s="5">
        <v>6000000</v>
      </c>
      <c r="D22" s="3" t="s">
        <v>58</v>
      </c>
      <c r="E22" s="3">
        <f t="shared" si="0"/>
        <v>6600000</v>
      </c>
      <c r="F22" s="3">
        <f t="shared" si="1"/>
        <v>6600000</v>
      </c>
      <c r="G22" s="8"/>
      <c r="H22" s="8"/>
    </row>
    <row r="23" spans="1:8" ht="27" customHeight="1" x14ac:dyDescent="0.45">
      <c r="A23" s="1">
        <v>22</v>
      </c>
      <c r="B23" s="4" t="s">
        <v>5</v>
      </c>
      <c r="C23" s="5">
        <v>5000000</v>
      </c>
      <c r="D23" s="3" t="s">
        <v>58</v>
      </c>
      <c r="E23" s="3">
        <f t="shared" si="0"/>
        <v>5500000</v>
      </c>
      <c r="F23" s="3">
        <f t="shared" si="1"/>
        <v>5500000</v>
      </c>
      <c r="G23" s="8"/>
      <c r="H23" s="8"/>
    </row>
    <row r="24" spans="1:8" ht="27" customHeight="1" x14ac:dyDescent="0.45">
      <c r="A24" s="1">
        <v>23</v>
      </c>
      <c r="B24" s="4" t="s">
        <v>6</v>
      </c>
      <c r="C24" s="5">
        <v>7000000</v>
      </c>
      <c r="D24" s="3" t="s">
        <v>58</v>
      </c>
      <c r="E24" s="3">
        <f t="shared" si="0"/>
        <v>7700000</v>
      </c>
      <c r="F24" s="3">
        <f t="shared" si="1"/>
        <v>7700000</v>
      </c>
      <c r="G24" s="8"/>
      <c r="H24" s="8"/>
    </row>
    <row r="25" spans="1:8" ht="27" customHeight="1" x14ac:dyDescent="0.45">
      <c r="A25" s="1">
        <v>24</v>
      </c>
      <c r="B25" s="1" t="s">
        <v>7</v>
      </c>
      <c r="C25" s="5">
        <v>5000000</v>
      </c>
      <c r="D25" s="3" t="s">
        <v>58</v>
      </c>
      <c r="E25" s="3">
        <f t="shared" si="0"/>
        <v>5500000</v>
      </c>
      <c r="F25" s="3">
        <f t="shared" si="1"/>
        <v>5500000</v>
      </c>
      <c r="G25" s="8"/>
      <c r="H25" s="8"/>
    </row>
    <row r="26" spans="1:8" ht="27" customHeight="1" x14ac:dyDescent="0.45">
      <c r="A26" s="1">
        <v>25</v>
      </c>
      <c r="B26" s="1" t="s">
        <v>8</v>
      </c>
      <c r="C26" s="5">
        <v>4500000</v>
      </c>
      <c r="D26" s="3" t="s">
        <v>59</v>
      </c>
      <c r="E26" s="3">
        <f t="shared" si="0"/>
        <v>4950000</v>
      </c>
      <c r="F26" s="3">
        <f t="shared" si="1"/>
        <v>5000000</v>
      </c>
      <c r="G26" s="8"/>
      <c r="H26" s="8"/>
    </row>
    <row r="27" spans="1:8" ht="27" customHeight="1" x14ac:dyDescent="0.45">
      <c r="A27" s="1">
        <v>26</v>
      </c>
      <c r="B27" s="1" t="s">
        <v>9</v>
      </c>
      <c r="C27" s="5">
        <v>22000000</v>
      </c>
      <c r="D27" s="3" t="s">
        <v>60</v>
      </c>
      <c r="E27" s="3">
        <f t="shared" si="0"/>
        <v>24200000</v>
      </c>
      <c r="F27" s="3">
        <f t="shared" si="1"/>
        <v>24200000</v>
      </c>
      <c r="G27" s="8"/>
      <c r="H27" s="8"/>
    </row>
    <row r="28" spans="1:8" ht="27" customHeight="1" x14ac:dyDescent="0.45">
      <c r="A28" s="1">
        <v>27</v>
      </c>
      <c r="B28" s="1" t="s">
        <v>10</v>
      </c>
      <c r="C28" s="5">
        <v>5500000</v>
      </c>
      <c r="D28" s="3" t="s">
        <v>59</v>
      </c>
      <c r="E28" s="3">
        <f t="shared" si="0"/>
        <v>6050000</v>
      </c>
      <c r="F28" s="3">
        <f t="shared" si="1"/>
        <v>6100000</v>
      </c>
      <c r="G28" s="8"/>
      <c r="H28" s="8"/>
    </row>
    <row r="29" spans="1:8" ht="27" customHeight="1" x14ac:dyDescent="0.45">
      <c r="A29" s="1">
        <v>28</v>
      </c>
      <c r="B29" s="1" t="s">
        <v>11</v>
      </c>
      <c r="C29" s="5">
        <v>9500000</v>
      </c>
      <c r="D29" s="3" t="s">
        <v>59</v>
      </c>
      <c r="E29" s="3">
        <f t="shared" si="0"/>
        <v>10450000</v>
      </c>
      <c r="F29" s="3">
        <f t="shared" si="1"/>
        <v>10500000</v>
      </c>
      <c r="G29" s="8"/>
      <c r="H29" s="8"/>
    </row>
    <row r="30" spans="1:8" ht="27" customHeight="1" x14ac:dyDescent="0.45">
      <c r="A30" s="1">
        <v>29</v>
      </c>
      <c r="B30" s="1" t="s">
        <v>12</v>
      </c>
      <c r="C30" s="5">
        <v>13500000</v>
      </c>
      <c r="D30" s="3" t="s">
        <v>59</v>
      </c>
      <c r="E30" s="3">
        <f t="shared" si="0"/>
        <v>14850000</v>
      </c>
      <c r="F30" s="3">
        <f t="shared" si="1"/>
        <v>14900000</v>
      </c>
      <c r="G30" s="8"/>
      <c r="H30" s="8"/>
    </row>
    <row r="31" spans="1:8" ht="27" customHeight="1" x14ac:dyDescent="0.45">
      <c r="A31" s="1">
        <v>30</v>
      </c>
      <c r="B31" s="1" t="s">
        <v>13</v>
      </c>
      <c r="C31" s="5">
        <v>18000000</v>
      </c>
      <c r="D31" s="3" t="s">
        <v>59</v>
      </c>
      <c r="E31" s="3">
        <f t="shared" si="0"/>
        <v>19800000</v>
      </c>
      <c r="F31" s="3">
        <f t="shared" si="1"/>
        <v>19800000</v>
      </c>
      <c r="G31" s="8"/>
      <c r="H31" s="8"/>
    </row>
    <row r="32" spans="1:8" ht="27" customHeight="1" x14ac:dyDescent="0.45">
      <c r="A32" s="1">
        <v>31</v>
      </c>
      <c r="B32" s="1" t="s">
        <v>14</v>
      </c>
      <c r="C32" s="5">
        <v>35000000</v>
      </c>
      <c r="D32" s="3" t="s">
        <v>59</v>
      </c>
      <c r="E32" s="3">
        <f t="shared" si="0"/>
        <v>38500000</v>
      </c>
      <c r="F32" s="3">
        <f t="shared" si="1"/>
        <v>38500000</v>
      </c>
      <c r="G32" s="8"/>
      <c r="H32" s="8"/>
    </row>
    <row r="33" spans="1:8" ht="27" customHeight="1" x14ac:dyDescent="0.45">
      <c r="A33" s="1">
        <v>32</v>
      </c>
      <c r="B33" s="1" t="s">
        <v>15</v>
      </c>
      <c r="C33" s="5">
        <v>3000000</v>
      </c>
      <c r="D33" s="3" t="s">
        <v>59</v>
      </c>
      <c r="E33" s="3">
        <f t="shared" si="0"/>
        <v>3300000</v>
      </c>
      <c r="F33" s="3">
        <f t="shared" si="1"/>
        <v>3300000</v>
      </c>
      <c r="G33" s="8"/>
      <c r="H33" s="8"/>
    </row>
    <row r="34" spans="1:8" ht="27" customHeight="1" x14ac:dyDescent="0.45">
      <c r="A34" s="1">
        <v>33</v>
      </c>
      <c r="B34" s="1" t="s">
        <v>16</v>
      </c>
      <c r="C34" s="5">
        <v>8000000</v>
      </c>
      <c r="D34" s="3" t="s">
        <v>58</v>
      </c>
      <c r="E34" s="3">
        <f t="shared" si="0"/>
        <v>8800000</v>
      </c>
      <c r="F34" s="3">
        <f t="shared" si="1"/>
        <v>8800000</v>
      </c>
      <c r="G34" s="8"/>
      <c r="H34" s="8"/>
    </row>
    <row r="35" spans="1:8" ht="27" customHeight="1" x14ac:dyDescent="0.45">
      <c r="A35" s="1">
        <v>34</v>
      </c>
      <c r="B35" s="1" t="s">
        <v>17</v>
      </c>
      <c r="C35" s="5">
        <v>39000000</v>
      </c>
      <c r="D35" s="3" t="s">
        <v>58</v>
      </c>
      <c r="E35" s="3">
        <f t="shared" si="0"/>
        <v>42900000</v>
      </c>
      <c r="F35" s="3">
        <f t="shared" si="1"/>
        <v>42900000</v>
      </c>
      <c r="G35" s="8"/>
      <c r="H35" s="8"/>
    </row>
    <row r="36" spans="1:8" ht="27" customHeight="1" x14ac:dyDescent="0.45">
      <c r="A36" s="1">
        <v>35</v>
      </c>
      <c r="B36" s="1" t="s">
        <v>18</v>
      </c>
      <c r="C36" s="5">
        <v>49000000</v>
      </c>
      <c r="D36" s="3" t="s">
        <v>58</v>
      </c>
      <c r="E36" s="3">
        <f t="shared" si="0"/>
        <v>53900000</v>
      </c>
      <c r="F36" s="3">
        <f t="shared" si="1"/>
        <v>53900000</v>
      </c>
      <c r="G36" s="8"/>
      <c r="H36" s="8"/>
    </row>
    <row r="37" spans="1:8" ht="27" customHeight="1" x14ac:dyDescent="0.45">
      <c r="A37" s="1">
        <v>36</v>
      </c>
      <c r="B37" s="1" t="s">
        <v>19</v>
      </c>
      <c r="C37" s="5">
        <v>18000000</v>
      </c>
      <c r="D37" s="3" t="s">
        <v>58</v>
      </c>
      <c r="E37" s="3">
        <f t="shared" si="0"/>
        <v>19800000</v>
      </c>
      <c r="F37" s="3">
        <f t="shared" si="1"/>
        <v>19800000</v>
      </c>
      <c r="G37" s="8"/>
      <c r="H37" s="8"/>
    </row>
    <row r="38" spans="1:8" ht="27" customHeight="1" x14ac:dyDescent="0.45">
      <c r="A38" s="1">
        <v>37</v>
      </c>
      <c r="B38" s="1" t="s">
        <v>20</v>
      </c>
      <c r="C38" s="5">
        <v>1000000</v>
      </c>
      <c r="D38" s="3" t="s">
        <v>58</v>
      </c>
      <c r="E38" s="3">
        <f t="shared" si="0"/>
        <v>1100000</v>
      </c>
      <c r="F38" s="3">
        <f t="shared" si="1"/>
        <v>1100000</v>
      </c>
      <c r="G38" s="8"/>
      <c r="H38" s="8"/>
    </row>
    <row r="39" spans="1:8" ht="27" customHeight="1" x14ac:dyDescent="0.45">
      <c r="A39" s="1">
        <v>38</v>
      </c>
      <c r="B39" s="1" t="s">
        <v>21</v>
      </c>
      <c r="C39" s="5">
        <v>5000000</v>
      </c>
      <c r="D39" s="3" t="s">
        <v>58</v>
      </c>
      <c r="E39" s="3">
        <f t="shared" si="0"/>
        <v>5500000</v>
      </c>
      <c r="F39" s="3">
        <f t="shared" si="1"/>
        <v>5500000</v>
      </c>
      <c r="G39" s="8"/>
      <c r="H39" s="8"/>
    </row>
    <row r="40" spans="1:8" ht="27" customHeight="1" x14ac:dyDescent="0.45">
      <c r="A40" s="1">
        <v>39</v>
      </c>
      <c r="B40" s="1" t="s">
        <v>22</v>
      </c>
      <c r="C40" s="5">
        <v>3000000</v>
      </c>
      <c r="D40" s="3" t="s">
        <v>58</v>
      </c>
      <c r="E40" s="3">
        <f t="shared" si="0"/>
        <v>3300000</v>
      </c>
      <c r="F40" s="3">
        <f t="shared" si="1"/>
        <v>3300000</v>
      </c>
      <c r="G40" s="8"/>
      <c r="H40" s="8"/>
    </row>
    <row r="41" spans="1:8" ht="27" customHeight="1" x14ac:dyDescent="0.45">
      <c r="A41" s="1">
        <v>40</v>
      </c>
      <c r="B41" s="1" t="s">
        <v>23</v>
      </c>
      <c r="C41" s="5">
        <v>6000000</v>
      </c>
      <c r="D41" s="3" t="s">
        <v>58</v>
      </c>
      <c r="E41" s="3">
        <f t="shared" si="0"/>
        <v>6600000</v>
      </c>
      <c r="F41" s="3">
        <f t="shared" si="1"/>
        <v>6600000</v>
      </c>
      <c r="G41" s="8"/>
      <c r="H41" s="8"/>
    </row>
    <row r="42" spans="1:8" ht="27" customHeight="1" x14ac:dyDescent="0.45">
      <c r="A42" s="1">
        <v>41</v>
      </c>
      <c r="B42" s="1" t="s">
        <v>24</v>
      </c>
      <c r="C42" s="5">
        <v>3000000</v>
      </c>
      <c r="D42" s="3" t="s">
        <v>58</v>
      </c>
      <c r="E42" s="3">
        <f t="shared" si="0"/>
        <v>3300000</v>
      </c>
      <c r="F42" s="3">
        <f t="shared" si="1"/>
        <v>3300000</v>
      </c>
      <c r="G42" s="8"/>
      <c r="H42" s="8"/>
    </row>
    <row r="43" spans="1:8" ht="27" customHeight="1" x14ac:dyDescent="0.45">
      <c r="A43" s="1">
        <v>42</v>
      </c>
      <c r="B43" s="1" t="s">
        <v>25</v>
      </c>
      <c r="C43" s="5">
        <v>6000000</v>
      </c>
      <c r="D43" s="3" t="s">
        <v>58</v>
      </c>
      <c r="E43" s="3">
        <f t="shared" si="0"/>
        <v>6600000</v>
      </c>
      <c r="F43" s="3">
        <f t="shared" si="1"/>
        <v>6600000</v>
      </c>
      <c r="G43" s="8"/>
      <c r="H43" s="8"/>
    </row>
    <row r="44" spans="1:8" ht="27" customHeight="1" x14ac:dyDescent="0.45">
      <c r="A44" s="1">
        <v>43</v>
      </c>
      <c r="B44" s="1" t="s">
        <v>72</v>
      </c>
      <c r="C44" s="5">
        <v>2500000</v>
      </c>
      <c r="D44" s="3" t="s">
        <v>73</v>
      </c>
      <c r="E44" s="3">
        <f t="shared" si="0"/>
        <v>2750000</v>
      </c>
      <c r="F44" s="3">
        <f t="shared" si="1"/>
        <v>2800000</v>
      </c>
      <c r="G44" s="8" t="s">
        <v>62</v>
      </c>
      <c r="H44" s="8"/>
    </row>
    <row r="45" spans="1:8" ht="27" customHeight="1" x14ac:dyDescent="0.45">
      <c r="A45" s="1">
        <v>44</v>
      </c>
      <c r="B45" s="1" t="s">
        <v>100</v>
      </c>
      <c r="C45" s="5">
        <v>5000000</v>
      </c>
      <c r="D45" s="3" t="s">
        <v>48</v>
      </c>
      <c r="E45" s="3">
        <f t="shared" si="0"/>
        <v>5500000</v>
      </c>
      <c r="F45" s="3">
        <f t="shared" si="1"/>
        <v>5500000</v>
      </c>
      <c r="G45" s="8" t="s">
        <v>70</v>
      </c>
      <c r="H45" s="8"/>
    </row>
    <row r="46" spans="1:8" ht="27" customHeight="1" x14ac:dyDescent="0.45">
      <c r="A46" s="1">
        <v>45</v>
      </c>
      <c r="B46" s="1" t="s">
        <v>95</v>
      </c>
      <c r="C46" s="5">
        <v>6000000</v>
      </c>
      <c r="D46" s="3" t="s">
        <v>74</v>
      </c>
      <c r="E46" s="3">
        <f t="shared" si="0"/>
        <v>6600000</v>
      </c>
      <c r="F46" s="3">
        <f t="shared" si="1"/>
        <v>6600000</v>
      </c>
      <c r="G46" s="8" t="s">
        <v>63</v>
      </c>
      <c r="H46" s="8" t="s">
        <v>70</v>
      </c>
    </row>
    <row r="47" spans="1:8" ht="27" customHeight="1" x14ac:dyDescent="0.45">
      <c r="A47" s="1">
        <v>46</v>
      </c>
      <c r="B47" s="1" t="s">
        <v>96</v>
      </c>
      <c r="C47" s="5">
        <v>8500000</v>
      </c>
      <c r="D47" s="3" t="s">
        <v>74</v>
      </c>
      <c r="E47" s="3">
        <f t="shared" si="0"/>
        <v>9350000</v>
      </c>
      <c r="F47" s="3">
        <f t="shared" si="1"/>
        <v>9400000</v>
      </c>
      <c r="G47" s="8" t="s">
        <v>71</v>
      </c>
      <c r="H47" s="8" t="s">
        <v>63</v>
      </c>
    </row>
    <row r="48" spans="1:8" ht="27" customHeight="1" x14ac:dyDescent="0.45">
      <c r="A48" s="1">
        <v>47</v>
      </c>
      <c r="B48" s="1" t="s">
        <v>97</v>
      </c>
      <c r="C48" s="5">
        <v>9500000</v>
      </c>
      <c r="D48" s="3" t="s">
        <v>74</v>
      </c>
      <c r="E48" s="3">
        <f t="shared" si="0"/>
        <v>10450000</v>
      </c>
      <c r="F48" s="3">
        <f t="shared" si="1"/>
        <v>10500000</v>
      </c>
      <c r="G48" s="8" t="s">
        <v>71</v>
      </c>
      <c r="H48" s="8" t="s">
        <v>71</v>
      </c>
    </row>
    <row r="49" spans="1:8" ht="27" customHeight="1" x14ac:dyDescent="0.45">
      <c r="A49" s="1">
        <v>48</v>
      </c>
      <c r="B49" s="1" t="s">
        <v>98</v>
      </c>
      <c r="C49" s="5">
        <v>11500000</v>
      </c>
      <c r="D49" s="3" t="s">
        <v>49</v>
      </c>
      <c r="E49" s="3">
        <f t="shared" si="0"/>
        <v>12650000</v>
      </c>
      <c r="F49" s="3">
        <f t="shared" si="1"/>
        <v>12700000</v>
      </c>
      <c r="G49" s="8" t="s">
        <v>75</v>
      </c>
      <c r="H49" s="8" t="s">
        <v>76</v>
      </c>
    </row>
    <row r="50" spans="1:8" ht="27" hidden="1" customHeight="1" x14ac:dyDescent="0.45">
      <c r="A50" s="1">
        <v>49</v>
      </c>
      <c r="B50" s="1" t="s">
        <v>26</v>
      </c>
      <c r="C50" s="5">
        <v>8000000</v>
      </c>
      <c r="D50" s="3" t="s">
        <v>57</v>
      </c>
      <c r="E50" s="3">
        <f t="shared" si="0"/>
        <v>8800000</v>
      </c>
      <c r="F50" s="3"/>
      <c r="G50" s="8"/>
    </row>
    <row r="51" spans="1:8" ht="27" customHeight="1" x14ac:dyDescent="0.4">
      <c r="G5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489BA-CA03-0743-A9C8-6F55F783F169}">
  <dimension ref="A1:R32"/>
  <sheetViews>
    <sheetView tabSelected="1" workbookViewId="0">
      <pane xSplit="2" ySplit="1" topLeftCell="H13" activePane="bottomRight" state="frozen"/>
      <selection pane="topRight" activeCell="C1" sqref="C1"/>
      <selection pane="bottomLeft" activeCell="A2" sqref="A2"/>
      <selection pane="bottomRight" activeCell="L4" sqref="L4"/>
    </sheetView>
  </sheetViews>
  <sheetFormatPr defaultColWidth="10.6640625" defaultRowHeight="15" x14ac:dyDescent="0.4"/>
  <cols>
    <col min="2" max="2" width="46.33203125" customWidth="1"/>
    <col min="3" max="3" width="15.1640625" style="7" customWidth="1"/>
    <col min="4" max="4" width="14" style="7" customWidth="1"/>
    <col min="5" max="5" width="14" style="7" hidden="1" customWidth="1"/>
    <col min="6" max="7" width="14" style="7" customWidth="1"/>
    <col min="8" max="12" width="12.6640625" style="7" customWidth="1"/>
    <col min="13" max="13" width="18.44140625" style="7" customWidth="1"/>
    <col min="14" max="14" width="0" hidden="1" customWidth="1"/>
    <col min="15" max="16" width="18" hidden="1" customWidth="1"/>
    <col min="17" max="17" width="13.33203125" style="7" hidden="1" customWidth="1"/>
  </cols>
  <sheetData>
    <row r="1" spans="1:18" ht="45" x14ac:dyDescent="0.4">
      <c r="A1" s="8"/>
      <c r="B1" s="17" t="s">
        <v>103</v>
      </c>
      <c r="C1" s="18" t="s">
        <v>45</v>
      </c>
      <c r="D1" s="25" t="s">
        <v>111</v>
      </c>
      <c r="E1" s="25" t="s">
        <v>102</v>
      </c>
      <c r="F1" s="25" t="s">
        <v>112</v>
      </c>
      <c r="G1" s="29" t="s">
        <v>114</v>
      </c>
      <c r="H1" s="25" t="s">
        <v>102</v>
      </c>
      <c r="I1" s="19" t="s">
        <v>104</v>
      </c>
      <c r="J1" s="19" t="s">
        <v>105</v>
      </c>
      <c r="K1" s="19" t="s">
        <v>106</v>
      </c>
      <c r="L1" s="19" t="s">
        <v>107</v>
      </c>
      <c r="M1" s="22" t="s">
        <v>115</v>
      </c>
      <c r="P1" t="s">
        <v>101</v>
      </c>
      <c r="R1" t="s">
        <v>113</v>
      </c>
    </row>
    <row r="2" spans="1:18" ht="20.65" x14ac:dyDescent="0.6">
      <c r="A2" s="33" t="s">
        <v>27</v>
      </c>
      <c r="B2" s="16" t="s">
        <v>37</v>
      </c>
      <c r="C2" s="28">
        <v>148700000</v>
      </c>
      <c r="D2" s="9">
        <v>56600000</v>
      </c>
      <c r="E2" s="15">
        <v>0.56000000000000005</v>
      </c>
      <c r="F2" s="27">
        <v>8448000</v>
      </c>
      <c r="G2" s="9">
        <f>D2+F2</f>
        <v>65048000</v>
      </c>
      <c r="H2" s="15">
        <f t="shared" ref="H2:H11" si="0">(G2/C2)*100%</f>
        <v>0.43744451916610627</v>
      </c>
      <c r="I2" s="15">
        <v>0.1</v>
      </c>
      <c r="J2" s="15">
        <v>0.1</v>
      </c>
      <c r="K2" s="15">
        <f t="shared" ref="K2:K11" si="1">H2+I2+J2</f>
        <v>0.63744451916610623</v>
      </c>
      <c r="L2" s="20">
        <f>100%-K2</f>
        <v>0.36255548083389377</v>
      </c>
      <c r="M2" s="31">
        <f>L2*C2</f>
        <v>53912000.000000007</v>
      </c>
      <c r="N2" s="34" t="s">
        <v>34</v>
      </c>
      <c r="O2" s="8" t="s">
        <v>28</v>
      </c>
      <c r="P2" s="8">
        <v>56400</v>
      </c>
      <c r="Q2" s="9">
        <v>153000</v>
      </c>
    </row>
    <row r="3" spans="1:18" ht="20.65" x14ac:dyDescent="0.6">
      <c r="A3" s="33"/>
      <c r="B3" s="16" t="s">
        <v>38</v>
      </c>
      <c r="C3" s="28">
        <v>181100000</v>
      </c>
      <c r="D3" s="9">
        <v>62600000</v>
      </c>
      <c r="E3" s="15">
        <v>0.52</v>
      </c>
      <c r="F3" s="27">
        <v>8448000</v>
      </c>
      <c r="G3" s="9">
        <f t="shared" ref="G3:G23" si="2">D3+F3</f>
        <v>71048000</v>
      </c>
      <c r="H3" s="15">
        <f t="shared" si="0"/>
        <v>0.39231363887355053</v>
      </c>
      <c r="I3" s="15">
        <v>0.1</v>
      </c>
      <c r="J3" s="15">
        <v>0.1</v>
      </c>
      <c r="K3" s="15">
        <f t="shared" si="1"/>
        <v>0.59231363887355049</v>
      </c>
      <c r="L3" s="20">
        <f t="shared" ref="L3:L11" si="3">100%-K3</f>
        <v>0.40768636112644951</v>
      </c>
      <c r="M3" s="31">
        <f t="shared" ref="M3:M11" si="4">L3*C3</f>
        <v>73832000</v>
      </c>
      <c r="N3" s="35"/>
      <c r="O3" s="8" t="s">
        <v>29</v>
      </c>
      <c r="P3" s="8">
        <v>63400</v>
      </c>
      <c r="Q3" s="9">
        <v>188400</v>
      </c>
    </row>
    <row r="4" spans="1:18" ht="20.65" x14ac:dyDescent="0.6">
      <c r="A4" s="33"/>
      <c r="B4" s="16" t="s">
        <v>39</v>
      </c>
      <c r="C4" s="28">
        <v>161900000</v>
      </c>
      <c r="D4" s="9">
        <v>61000000</v>
      </c>
      <c r="E4" s="15">
        <v>0.56999999999999995</v>
      </c>
      <c r="F4" s="27">
        <v>8448000</v>
      </c>
      <c r="G4" s="9">
        <f t="shared" si="2"/>
        <v>69448000</v>
      </c>
      <c r="H4" s="15">
        <f t="shared" si="0"/>
        <v>0.42895614576899321</v>
      </c>
      <c r="I4" s="15">
        <v>0.1</v>
      </c>
      <c r="J4" s="15">
        <v>0.1</v>
      </c>
      <c r="K4" s="15">
        <f t="shared" si="1"/>
        <v>0.62895614576899317</v>
      </c>
      <c r="L4" s="20">
        <f t="shared" si="3"/>
        <v>0.37104385423100683</v>
      </c>
      <c r="M4" s="31">
        <f t="shared" si="4"/>
        <v>60072000.000000007</v>
      </c>
      <c r="N4" s="35"/>
      <c r="O4" s="8" t="s">
        <v>30</v>
      </c>
      <c r="P4" s="8">
        <v>65180</v>
      </c>
      <c r="Q4" s="9">
        <v>171400</v>
      </c>
    </row>
    <row r="5" spans="1:18" ht="20.65" x14ac:dyDescent="0.6">
      <c r="A5" s="33"/>
      <c r="B5" s="16" t="s">
        <v>40</v>
      </c>
      <c r="C5" s="28">
        <v>194300000</v>
      </c>
      <c r="D5" s="9">
        <v>67000000</v>
      </c>
      <c r="E5" s="15">
        <v>0.53</v>
      </c>
      <c r="F5" s="27">
        <v>8448000</v>
      </c>
      <c r="G5" s="9">
        <f t="shared" si="2"/>
        <v>75448000</v>
      </c>
      <c r="H5" s="15">
        <f t="shared" si="0"/>
        <v>0.38830674215131239</v>
      </c>
      <c r="I5" s="15">
        <v>0.1</v>
      </c>
      <c r="J5" s="15">
        <v>0.1</v>
      </c>
      <c r="K5" s="15">
        <f t="shared" si="1"/>
        <v>0.5883067421513124</v>
      </c>
      <c r="L5" s="20">
        <f t="shared" si="3"/>
        <v>0.4116932578486876</v>
      </c>
      <c r="M5" s="31">
        <f t="shared" si="4"/>
        <v>79992000</v>
      </c>
      <c r="N5" s="35"/>
      <c r="O5" s="8" t="s">
        <v>31</v>
      </c>
      <c r="P5" s="8">
        <v>72180</v>
      </c>
      <c r="Q5" s="9">
        <v>206400</v>
      </c>
    </row>
    <row r="6" spans="1:18" ht="20.65" x14ac:dyDescent="0.6">
      <c r="A6" s="33"/>
      <c r="B6" s="16" t="s">
        <v>41</v>
      </c>
      <c r="C6" s="30">
        <v>188300000</v>
      </c>
      <c r="D6" s="27">
        <v>69000000</v>
      </c>
      <c r="E6" s="15">
        <v>0.53</v>
      </c>
      <c r="F6" s="27">
        <v>8448000</v>
      </c>
      <c r="G6" s="9">
        <f t="shared" si="2"/>
        <v>77448000</v>
      </c>
      <c r="H6" s="15">
        <f t="shared" si="0"/>
        <v>0.41130111524163571</v>
      </c>
      <c r="I6" s="15">
        <v>0.1</v>
      </c>
      <c r="J6" s="15">
        <v>0.1</v>
      </c>
      <c r="K6" s="15">
        <f t="shared" si="1"/>
        <v>0.61130111524163566</v>
      </c>
      <c r="L6" s="20">
        <f t="shared" si="3"/>
        <v>0.38869888475836434</v>
      </c>
      <c r="M6" s="31">
        <f t="shared" si="4"/>
        <v>73192000</v>
      </c>
      <c r="N6" s="35"/>
      <c r="O6" s="8" t="s">
        <v>32</v>
      </c>
      <c r="P6" s="8">
        <v>71000</v>
      </c>
      <c r="Q6" s="9">
        <v>207000</v>
      </c>
    </row>
    <row r="7" spans="1:18" ht="20.65" x14ac:dyDescent="0.6">
      <c r="A7" s="33"/>
      <c r="B7" s="16" t="s">
        <v>42</v>
      </c>
      <c r="C7" s="30">
        <v>220700000</v>
      </c>
      <c r="D7" s="27">
        <v>75000000</v>
      </c>
      <c r="E7" s="15">
        <v>0.5</v>
      </c>
      <c r="F7" s="27">
        <v>8448000</v>
      </c>
      <c r="G7" s="9">
        <f t="shared" si="2"/>
        <v>83448000</v>
      </c>
      <c r="H7" s="15">
        <f t="shared" si="0"/>
        <v>0.3781060262800181</v>
      </c>
      <c r="I7" s="15">
        <v>0.1</v>
      </c>
      <c r="J7" s="15">
        <v>0.1</v>
      </c>
      <c r="K7" s="15">
        <f t="shared" si="1"/>
        <v>0.57810602628001806</v>
      </c>
      <c r="L7" s="20">
        <f t="shared" si="3"/>
        <v>0.42189397371998194</v>
      </c>
      <c r="M7" s="31">
        <f t="shared" si="4"/>
        <v>93112000.000000015</v>
      </c>
      <c r="N7" s="35"/>
      <c r="O7" s="8" t="s">
        <v>33</v>
      </c>
      <c r="P7" s="8">
        <v>78000</v>
      </c>
      <c r="Q7" s="9">
        <v>242000</v>
      </c>
    </row>
    <row r="8" spans="1:18" ht="20.65" x14ac:dyDescent="0.6">
      <c r="A8" s="33"/>
      <c r="B8" s="16" t="s">
        <v>116</v>
      </c>
      <c r="C8" s="30">
        <v>235100000</v>
      </c>
      <c r="D8" s="27">
        <v>77000000</v>
      </c>
      <c r="E8" s="15"/>
      <c r="F8" s="27">
        <v>8448000</v>
      </c>
      <c r="G8" s="9">
        <f t="shared" si="2"/>
        <v>85448000</v>
      </c>
      <c r="H8" s="15">
        <f t="shared" si="0"/>
        <v>0.36345384942577624</v>
      </c>
      <c r="I8" s="15">
        <v>0.1</v>
      </c>
      <c r="J8" s="15">
        <v>0.1</v>
      </c>
      <c r="K8" s="15">
        <f t="shared" si="1"/>
        <v>0.56345384942577625</v>
      </c>
      <c r="L8" s="20">
        <f t="shared" si="3"/>
        <v>0.43654615057422375</v>
      </c>
      <c r="M8" s="31">
        <f t="shared" si="4"/>
        <v>102632000</v>
      </c>
      <c r="N8" s="35"/>
      <c r="O8" s="8"/>
      <c r="P8" s="8"/>
      <c r="Q8" s="9"/>
    </row>
    <row r="9" spans="1:18" ht="20.65" x14ac:dyDescent="0.6">
      <c r="A9" s="33"/>
      <c r="B9" s="16" t="s">
        <v>117</v>
      </c>
      <c r="C9" s="30">
        <v>267500000</v>
      </c>
      <c r="D9" s="27">
        <v>83000000</v>
      </c>
      <c r="E9" s="15"/>
      <c r="F9" s="27">
        <v>8448000</v>
      </c>
      <c r="G9" s="9">
        <f t="shared" si="2"/>
        <v>91448000</v>
      </c>
      <c r="H9" s="15">
        <f t="shared" si="0"/>
        <v>0.34186168224299063</v>
      </c>
      <c r="I9" s="15">
        <v>0.1</v>
      </c>
      <c r="J9" s="15">
        <v>0.1</v>
      </c>
      <c r="K9" s="15">
        <f t="shared" si="1"/>
        <v>0.54186168224299058</v>
      </c>
      <c r="L9" s="20">
        <f t="shared" si="3"/>
        <v>0.45813831775700942</v>
      </c>
      <c r="M9" s="31">
        <f t="shared" si="4"/>
        <v>122552000.00000001</v>
      </c>
      <c r="N9" s="35"/>
      <c r="O9" s="8"/>
      <c r="P9" s="8"/>
      <c r="Q9" s="9"/>
    </row>
    <row r="10" spans="1:18" ht="20.65" x14ac:dyDescent="0.6">
      <c r="A10" s="33"/>
      <c r="B10" s="16" t="s">
        <v>43</v>
      </c>
      <c r="C10" s="30">
        <v>239500000</v>
      </c>
      <c r="D10" s="27">
        <v>119000000</v>
      </c>
      <c r="E10" s="15">
        <v>0.7</v>
      </c>
      <c r="F10" s="27">
        <v>8448000</v>
      </c>
      <c r="G10" s="9">
        <f t="shared" si="2"/>
        <v>127448000</v>
      </c>
      <c r="H10" s="15">
        <f t="shared" si="0"/>
        <v>0.53214196242171186</v>
      </c>
      <c r="I10" s="15">
        <v>0.1</v>
      </c>
      <c r="J10" s="15">
        <v>0.1</v>
      </c>
      <c r="K10" s="15">
        <f t="shared" si="1"/>
        <v>0.73214196242171181</v>
      </c>
      <c r="L10" s="20">
        <f t="shared" si="3"/>
        <v>0.26785803757828819</v>
      </c>
      <c r="M10" s="31">
        <f t="shared" si="4"/>
        <v>64152000.000000022</v>
      </c>
      <c r="N10" s="35"/>
      <c r="O10" s="8" t="s">
        <v>35</v>
      </c>
      <c r="P10" s="8">
        <v>140000</v>
      </c>
      <c r="Q10" s="9">
        <v>256000</v>
      </c>
    </row>
    <row r="11" spans="1:18" ht="20.65" x14ac:dyDescent="0.6">
      <c r="A11" s="33"/>
      <c r="B11" s="16" t="s">
        <v>44</v>
      </c>
      <c r="C11" s="30">
        <v>271900000</v>
      </c>
      <c r="D11" s="27">
        <v>125000000</v>
      </c>
      <c r="E11" s="15">
        <v>0.65</v>
      </c>
      <c r="F11" s="27">
        <v>8448000</v>
      </c>
      <c r="G11" s="9">
        <f t="shared" si="2"/>
        <v>133448000</v>
      </c>
      <c r="H11" s="15">
        <f t="shared" si="0"/>
        <v>0.49079808753218096</v>
      </c>
      <c r="I11" s="15">
        <v>0.1</v>
      </c>
      <c r="J11" s="15">
        <v>0.1</v>
      </c>
      <c r="K11" s="15">
        <f t="shared" si="1"/>
        <v>0.69079808753218097</v>
      </c>
      <c r="L11" s="20">
        <f t="shared" si="3"/>
        <v>0.30920191246781903</v>
      </c>
      <c r="M11" s="31">
        <f t="shared" si="4"/>
        <v>84072000</v>
      </c>
      <c r="N11" s="36"/>
      <c r="O11" s="8" t="s">
        <v>36</v>
      </c>
      <c r="P11" s="8">
        <v>147000</v>
      </c>
      <c r="Q11" s="9">
        <v>291000</v>
      </c>
    </row>
    <row r="12" spans="1:18" x14ac:dyDescent="0.4">
      <c r="G12" s="9"/>
      <c r="H12" s="15"/>
      <c r="M12" s="21"/>
    </row>
    <row r="13" spans="1:18" ht="45" x14ac:dyDescent="0.4">
      <c r="A13" s="23"/>
      <c r="B13" s="24" t="s">
        <v>108</v>
      </c>
      <c r="C13" s="25" t="s">
        <v>45</v>
      </c>
      <c r="D13" s="25" t="s">
        <v>110</v>
      </c>
      <c r="E13" s="25" t="s">
        <v>102</v>
      </c>
      <c r="F13" s="25"/>
      <c r="G13" s="29" t="s">
        <v>114</v>
      </c>
      <c r="H13" s="25" t="s">
        <v>102</v>
      </c>
      <c r="I13" s="26" t="s">
        <v>104</v>
      </c>
      <c r="J13" s="26" t="s">
        <v>105</v>
      </c>
      <c r="K13" s="26" t="s">
        <v>106</v>
      </c>
      <c r="L13" s="26" t="s">
        <v>107</v>
      </c>
      <c r="M13" s="22" t="s">
        <v>109</v>
      </c>
      <c r="P13" t="s">
        <v>101</v>
      </c>
    </row>
    <row r="14" spans="1:18" ht="20.65" x14ac:dyDescent="0.6">
      <c r="A14" s="33" t="s">
        <v>34</v>
      </c>
      <c r="B14" s="8" t="s">
        <v>28</v>
      </c>
      <c r="C14" s="9">
        <v>176100000</v>
      </c>
      <c r="D14" s="9">
        <v>65400000</v>
      </c>
      <c r="E14" s="15">
        <v>0.51</v>
      </c>
      <c r="F14" s="27">
        <v>8448000</v>
      </c>
      <c r="G14" s="9">
        <f t="shared" si="2"/>
        <v>73848000</v>
      </c>
      <c r="H14" s="15">
        <f t="shared" ref="H14:H23" si="5">(G14/C14)*100%</f>
        <v>0.41935264054514482</v>
      </c>
      <c r="I14" s="15">
        <v>0.1</v>
      </c>
      <c r="J14" s="15">
        <v>0.1</v>
      </c>
      <c r="K14" s="15">
        <f t="shared" ref="K14:K23" si="6">H14+I14+J14</f>
        <v>0.61935264054514483</v>
      </c>
      <c r="L14" s="20">
        <f>100%-K14</f>
        <v>0.38064735945485517</v>
      </c>
      <c r="M14" s="32">
        <f>L14*C14</f>
        <v>67031999.999999993</v>
      </c>
    </row>
    <row r="15" spans="1:18" ht="20.65" x14ac:dyDescent="0.6">
      <c r="A15" s="33"/>
      <c r="B15" s="8" t="s">
        <v>29</v>
      </c>
      <c r="C15" s="9">
        <v>213900000</v>
      </c>
      <c r="D15" s="9">
        <v>72400000</v>
      </c>
      <c r="E15" s="15">
        <v>0.47</v>
      </c>
      <c r="F15" s="27">
        <v>8448000</v>
      </c>
      <c r="G15" s="9">
        <f t="shared" si="2"/>
        <v>80848000</v>
      </c>
      <c r="H15" s="15">
        <f t="shared" si="5"/>
        <v>0.37797101449275361</v>
      </c>
      <c r="I15" s="15">
        <v>0.1</v>
      </c>
      <c r="J15" s="15">
        <v>0.1</v>
      </c>
      <c r="K15" s="15">
        <f t="shared" si="6"/>
        <v>0.57797101449275357</v>
      </c>
      <c r="L15" s="20">
        <f t="shared" ref="L15:L23" si="7">100%-K15</f>
        <v>0.42202898550724643</v>
      </c>
      <c r="M15" s="32">
        <f t="shared" ref="M15:M23" si="8">L15*C15</f>
        <v>90272000.000000015</v>
      </c>
    </row>
    <row r="16" spans="1:18" ht="20.65" x14ac:dyDescent="0.6">
      <c r="A16" s="33"/>
      <c r="B16" s="8" t="s">
        <v>30</v>
      </c>
      <c r="C16" s="9">
        <v>195900000</v>
      </c>
      <c r="D16" s="9">
        <v>72000000</v>
      </c>
      <c r="E16" s="15">
        <v>0.52</v>
      </c>
      <c r="F16" s="27">
        <v>8448000</v>
      </c>
      <c r="G16" s="9">
        <f t="shared" si="2"/>
        <v>80448000</v>
      </c>
      <c r="H16" s="15">
        <f t="shared" si="5"/>
        <v>0.4106584992343032</v>
      </c>
      <c r="I16" s="15">
        <v>0.1</v>
      </c>
      <c r="J16" s="15">
        <v>0.1</v>
      </c>
      <c r="K16" s="15">
        <f t="shared" si="6"/>
        <v>0.61065849923430315</v>
      </c>
      <c r="L16" s="20">
        <f t="shared" si="7"/>
        <v>0.38934150076569685</v>
      </c>
      <c r="M16" s="32">
        <f t="shared" si="8"/>
        <v>76272000.000000015</v>
      </c>
    </row>
    <row r="17" spans="1:13" ht="20.65" x14ac:dyDescent="0.6">
      <c r="A17" s="33"/>
      <c r="B17" s="8" t="s">
        <v>31</v>
      </c>
      <c r="C17" s="9">
        <v>233700000</v>
      </c>
      <c r="D17" s="9">
        <v>79000000</v>
      </c>
      <c r="E17" s="15">
        <v>0.5</v>
      </c>
      <c r="F17" s="27">
        <v>8448000</v>
      </c>
      <c r="G17" s="9">
        <f t="shared" si="2"/>
        <v>87448000</v>
      </c>
      <c r="H17" s="15">
        <f t="shared" si="5"/>
        <v>0.37418913136499787</v>
      </c>
      <c r="I17" s="15">
        <v>0.1</v>
      </c>
      <c r="J17" s="15">
        <v>0.1</v>
      </c>
      <c r="K17" s="15">
        <f t="shared" si="6"/>
        <v>0.57418913136499783</v>
      </c>
      <c r="L17" s="20">
        <f t="shared" si="7"/>
        <v>0.42581086863500217</v>
      </c>
      <c r="M17" s="32">
        <f t="shared" si="8"/>
        <v>99512000</v>
      </c>
    </row>
    <row r="18" spans="1:13" ht="20.65" x14ac:dyDescent="0.6">
      <c r="A18" s="33"/>
      <c r="B18" s="8" t="s">
        <v>32</v>
      </c>
      <c r="C18" s="9">
        <v>235500000</v>
      </c>
      <c r="D18" s="9">
        <v>84000000</v>
      </c>
      <c r="E18" s="15">
        <v>0.47</v>
      </c>
      <c r="F18" s="27">
        <v>8448000</v>
      </c>
      <c r="G18" s="9">
        <f t="shared" si="2"/>
        <v>92448000</v>
      </c>
      <c r="H18" s="15">
        <f t="shared" si="5"/>
        <v>0.39256050955414012</v>
      </c>
      <c r="I18" s="15">
        <v>0.1</v>
      </c>
      <c r="J18" s="15">
        <v>0.1</v>
      </c>
      <c r="K18" s="15">
        <f t="shared" si="6"/>
        <v>0.59256050955414008</v>
      </c>
      <c r="L18" s="20">
        <f t="shared" si="7"/>
        <v>0.40743949044585992</v>
      </c>
      <c r="M18" s="32">
        <f t="shared" si="8"/>
        <v>95952000.000000015</v>
      </c>
    </row>
    <row r="19" spans="1:13" ht="20.65" x14ac:dyDescent="0.6">
      <c r="A19" s="33"/>
      <c r="B19" s="8" t="s">
        <v>33</v>
      </c>
      <c r="C19" s="9">
        <v>273300000</v>
      </c>
      <c r="D19" s="9">
        <v>91000000</v>
      </c>
      <c r="E19" s="15">
        <v>0.47</v>
      </c>
      <c r="F19" s="27">
        <v>8448000</v>
      </c>
      <c r="G19" s="9">
        <f t="shared" si="2"/>
        <v>99448000</v>
      </c>
      <c r="H19" s="15">
        <f t="shared" si="5"/>
        <v>0.36387852177094765</v>
      </c>
      <c r="I19" s="15">
        <v>0.1</v>
      </c>
      <c r="J19" s="15">
        <v>0.1</v>
      </c>
      <c r="K19" s="15">
        <f t="shared" si="6"/>
        <v>0.56387852177094766</v>
      </c>
      <c r="L19" s="20">
        <f t="shared" si="7"/>
        <v>0.43612147822905234</v>
      </c>
      <c r="M19" s="32">
        <f t="shared" si="8"/>
        <v>119192000</v>
      </c>
    </row>
    <row r="20" spans="1:13" ht="20.65" x14ac:dyDescent="0.6">
      <c r="A20" s="33"/>
      <c r="B20" s="16" t="s">
        <v>116</v>
      </c>
      <c r="C20" s="9">
        <v>305700000</v>
      </c>
      <c r="D20" s="9">
        <v>96000000</v>
      </c>
      <c r="E20" s="15"/>
      <c r="F20" s="27">
        <v>8448000</v>
      </c>
      <c r="G20" s="9">
        <f t="shared" si="2"/>
        <v>104448000</v>
      </c>
      <c r="H20" s="15">
        <f t="shared" si="5"/>
        <v>0.34166830225711481</v>
      </c>
      <c r="I20" s="15">
        <v>0.1</v>
      </c>
      <c r="J20" s="15">
        <v>0.1</v>
      </c>
      <c r="K20" s="15">
        <f t="shared" si="6"/>
        <v>0.54166830225711482</v>
      </c>
      <c r="L20" s="20">
        <f t="shared" si="7"/>
        <v>0.45833169774288518</v>
      </c>
      <c r="M20" s="32">
        <f t="shared" si="8"/>
        <v>140112000</v>
      </c>
    </row>
    <row r="21" spans="1:13" ht="20.65" x14ac:dyDescent="0.6">
      <c r="A21" s="33"/>
      <c r="B21" s="16" t="s">
        <v>117</v>
      </c>
      <c r="C21" s="9">
        <v>343500000</v>
      </c>
      <c r="D21" s="9">
        <v>103000000</v>
      </c>
      <c r="E21" s="15"/>
      <c r="F21" s="27">
        <v>8448000</v>
      </c>
      <c r="G21" s="9">
        <f t="shared" si="2"/>
        <v>111448000</v>
      </c>
      <c r="H21" s="15">
        <f t="shared" si="5"/>
        <v>0.32444832605531293</v>
      </c>
      <c r="I21" s="15">
        <v>0.1</v>
      </c>
      <c r="J21" s="15">
        <v>0.1</v>
      </c>
      <c r="K21" s="15">
        <f t="shared" si="6"/>
        <v>0.52444832605531289</v>
      </c>
      <c r="L21" s="20">
        <f t="shared" si="7"/>
        <v>0.47555167394468711</v>
      </c>
      <c r="M21" s="32">
        <f t="shared" si="8"/>
        <v>163352000.00000003</v>
      </c>
    </row>
    <row r="22" spans="1:13" ht="20.65" x14ac:dyDescent="0.6">
      <c r="A22" s="33"/>
      <c r="B22" s="8" t="s">
        <v>35</v>
      </c>
      <c r="C22" s="9">
        <v>312300000</v>
      </c>
      <c r="D22" s="9">
        <v>159000000</v>
      </c>
      <c r="E22" s="15">
        <v>0.65</v>
      </c>
      <c r="F22" s="27">
        <v>8448000</v>
      </c>
      <c r="G22" s="9">
        <f t="shared" si="2"/>
        <v>167448000</v>
      </c>
      <c r="H22" s="15">
        <f t="shared" si="5"/>
        <v>0.53617675312199808</v>
      </c>
      <c r="I22" s="15">
        <v>0.1</v>
      </c>
      <c r="J22" s="15">
        <v>0.1</v>
      </c>
      <c r="K22" s="15">
        <f t="shared" si="6"/>
        <v>0.73617675312199804</v>
      </c>
      <c r="L22" s="20">
        <f t="shared" si="7"/>
        <v>0.26382324687800196</v>
      </c>
      <c r="M22" s="32">
        <f t="shared" si="8"/>
        <v>82392000.000000015</v>
      </c>
    </row>
    <row r="23" spans="1:13" ht="20.65" x14ac:dyDescent="0.6">
      <c r="A23" s="33"/>
      <c r="B23" s="8" t="s">
        <v>36</v>
      </c>
      <c r="C23" s="9">
        <v>350100000</v>
      </c>
      <c r="D23" s="9">
        <v>166000000</v>
      </c>
      <c r="E23" s="15">
        <v>0.63</v>
      </c>
      <c r="F23" s="27">
        <v>8448000</v>
      </c>
      <c r="G23" s="9">
        <f t="shared" si="2"/>
        <v>174448000</v>
      </c>
      <c r="H23" s="15">
        <f t="shared" si="5"/>
        <v>0.4982804912882034</v>
      </c>
      <c r="I23" s="15">
        <v>0.1</v>
      </c>
      <c r="J23" s="15">
        <v>0.1</v>
      </c>
      <c r="K23" s="15">
        <f t="shared" si="6"/>
        <v>0.69828049128820335</v>
      </c>
      <c r="L23" s="20">
        <f t="shared" si="7"/>
        <v>0.30171950871179665</v>
      </c>
      <c r="M23" s="32">
        <f t="shared" si="8"/>
        <v>105632000</v>
      </c>
    </row>
    <row r="25" spans="1:13" x14ac:dyDescent="0.4">
      <c r="C25" s="9">
        <v>153000</v>
      </c>
    </row>
    <row r="26" spans="1:13" x14ac:dyDescent="0.4">
      <c r="C26" s="9">
        <v>188400</v>
      </c>
    </row>
    <row r="27" spans="1:13" x14ac:dyDescent="0.4">
      <c r="C27" s="9">
        <v>171400</v>
      </c>
    </row>
    <row r="28" spans="1:13" x14ac:dyDescent="0.4">
      <c r="C28" s="9">
        <v>206400</v>
      </c>
    </row>
    <row r="29" spans="1:13" x14ac:dyDescent="0.4">
      <c r="C29" s="9">
        <v>207000</v>
      </c>
    </row>
    <row r="30" spans="1:13" x14ac:dyDescent="0.4">
      <c r="C30" s="9">
        <v>242000</v>
      </c>
    </row>
    <row r="31" spans="1:13" x14ac:dyDescent="0.4">
      <c r="C31" s="9">
        <v>256000</v>
      </c>
    </row>
    <row r="32" spans="1:13" x14ac:dyDescent="0.4">
      <c r="C32" s="9">
        <v>291000</v>
      </c>
    </row>
  </sheetData>
  <mergeCells count="3">
    <mergeCell ref="A2:A11"/>
    <mergeCell ref="N2:N11"/>
    <mergeCell ref="A14:A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Hiền Nguyễn Thanh</cp:lastModifiedBy>
  <dcterms:created xsi:type="dcterms:W3CDTF">2024-07-31T03:18:39Z</dcterms:created>
  <dcterms:modified xsi:type="dcterms:W3CDTF">2025-07-05T02:45:03Z</dcterms:modified>
</cp:coreProperties>
</file>