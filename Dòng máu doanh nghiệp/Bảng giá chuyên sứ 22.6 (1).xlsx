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Máy tính\"/>
    </mc:Choice>
  </mc:AlternateContent>
  <bookViews>
    <workbookView xWindow="0" yWindow="0" windowWidth="19200" windowHeight="8120"/>
  </bookViews>
  <sheets>
    <sheet name="Combo 16-20" sheetId="1" r:id="rId1"/>
    <sheet name="9 -15 răng" sheetId="3" r:id="rId2"/>
    <sheet name="2-8 răng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0" i="2"/>
  <c r="G20" i="2" s="1"/>
  <c r="F21" i="2"/>
  <c r="F22" i="2"/>
  <c r="F23" i="2"/>
  <c r="D20" i="2"/>
  <c r="D21" i="2"/>
  <c r="D22" i="2"/>
  <c r="D23" i="2"/>
  <c r="G21" i="2"/>
  <c r="G22" i="2"/>
  <c r="G23" i="2"/>
  <c r="H22" i="2"/>
  <c r="H23" i="2"/>
  <c r="H21" i="2"/>
  <c r="D20" i="3"/>
  <c r="H21" i="3"/>
  <c r="D21" i="3" s="1"/>
  <c r="H22" i="1"/>
  <c r="H23" i="1"/>
  <c r="H21" i="1"/>
  <c r="G20" i="1"/>
  <c r="G21" i="3" l="1"/>
  <c r="F19" i="3" l="1"/>
  <c r="F18" i="3"/>
  <c r="F17" i="3"/>
  <c r="F16" i="3"/>
  <c r="F15" i="3"/>
  <c r="F14" i="3"/>
  <c r="F13" i="3"/>
  <c r="F12" i="3"/>
  <c r="F11" i="3"/>
  <c r="F10" i="3"/>
  <c r="F9" i="3"/>
  <c r="H8" i="3"/>
  <c r="F8" i="3"/>
  <c r="H8" i="2"/>
  <c r="D8" i="2" s="1"/>
  <c r="F19" i="2"/>
  <c r="F18" i="2"/>
  <c r="F17" i="2"/>
  <c r="F16" i="2"/>
  <c r="F15" i="2"/>
  <c r="F14" i="2"/>
  <c r="F13" i="2"/>
  <c r="F12" i="2"/>
  <c r="F11" i="2"/>
  <c r="F10" i="2"/>
  <c r="F9" i="2"/>
  <c r="F8" i="2"/>
  <c r="H9" i="3" l="1"/>
  <c r="H23" i="3" s="1"/>
  <c r="H22" i="3"/>
  <c r="D8" i="3"/>
  <c r="G8" i="3"/>
  <c r="G8" i="2"/>
  <c r="H9" i="2"/>
  <c r="G9" i="2" s="1"/>
  <c r="D9" i="2"/>
  <c r="H10" i="2"/>
  <c r="F22" i="1"/>
  <c r="F23" i="1"/>
  <c r="G23" i="1" s="1"/>
  <c r="D23" i="1"/>
  <c r="F21" i="1"/>
  <c r="F19" i="1"/>
  <c r="F18" i="1"/>
  <c r="F17" i="1"/>
  <c r="F16" i="1"/>
  <c r="F15" i="1"/>
  <c r="F14" i="1"/>
  <c r="F13" i="1"/>
  <c r="F12" i="1"/>
  <c r="F11" i="1"/>
  <c r="F10" i="1"/>
  <c r="F9" i="1"/>
  <c r="H8" i="1"/>
  <c r="H9" i="1" s="1"/>
  <c r="F8" i="1"/>
  <c r="G22" i="3" l="1"/>
  <c r="D22" i="3"/>
  <c r="G23" i="3"/>
  <c r="D23" i="3"/>
  <c r="G9" i="3"/>
  <c r="D9" i="3"/>
  <c r="H10" i="3"/>
  <c r="G10" i="3" s="1"/>
  <c r="G8" i="1"/>
  <c r="D10" i="3"/>
  <c r="H11" i="3"/>
  <c r="D10" i="2"/>
  <c r="H11" i="2"/>
  <c r="G10" i="2"/>
  <c r="G9" i="1"/>
  <c r="D9" i="1"/>
  <c r="H11" i="1"/>
  <c r="H10" i="1"/>
  <c r="G10" i="1" s="1"/>
  <c r="D8" i="1"/>
  <c r="D11" i="3" l="1"/>
  <c r="H12" i="3"/>
  <c r="G11" i="3"/>
  <c r="H12" i="2"/>
  <c r="G11" i="2"/>
  <c r="D11" i="2"/>
  <c r="D11" i="1"/>
  <c r="H13" i="1"/>
  <c r="D10" i="1"/>
  <c r="H12" i="1"/>
  <c r="G11" i="1"/>
  <c r="H13" i="3" l="1"/>
  <c r="D12" i="3"/>
  <c r="G12" i="3"/>
  <c r="H13" i="2"/>
  <c r="D12" i="2"/>
  <c r="G12" i="2"/>
  <c r="D12" i="1"/>
  <c r="H14" i="1"/>
  <c r="G12" i="1"/>
  <c r="G13" i="1"/>
  <c r="D13" i="1"/>
  <c r="H15" i="1"/>
  <c r="H14" i="3" l="1"/>
  <c r="D13" i="3"/>
  <c r="G13" i="3"/>
  <c r="D13" i="2"/>
  <c r="H14" i="2"/>
  <c r="G13" i="2"/>
  <c r="D15" i="1"/>
  <c r="H17" i="1"/>
  <c r="G15" i="1"/>
  <c r="H16" i="1"/>
  <c r="D14" i="1"/>
  <c r="G14" i="1"/>
  <c r="D14" i="3" l="1"/>
  <c r="H15" i="3"/>
  <c r="G14" i="3"/>
  <c r="D14" i="2"/>
  <c r="H15" i="2"/>
  <c r="G14" i="2"/>
  <c r="D16" i="1"/>
  <c r="H18" i="1"/>
  <c r="G16" i="1"/>
  <c r="G17" i="1"/>
  <c r="D17" i="1"/>
  <c r="H19" i="1"/>
  <c r="G22" i="1" l="1"/>
  <c r="G21" i="1"/>
  <c r="D15" i="3"/>
  <c r="H16" i="3"/>
  <c r="G15" i="3"/>
  <c r="H16" i="2"/>
  <c r="G15" i="2"/>
  <c r="D15" i="2"/>
  <c r="D19" i="1"/>
  <c r="G19" i="1"/>
  <c r="D18" i="1"/>
  <c r="G18" i="1"/>
  <c r="H17" i="3" l="1"/>
  <c r="D16" i="3"/>
  <c r="G16" i="3"/>
  <c r="H17" i="2"/>
  <c r="D16" i="2"/>
  <c r="G16" i="2"/>
  <c r="D21" i="1"/>
  <c r="H18" i="3" l="1"/>
  <c r="D17" i="3"/>
  <c r="G17" i="3"/>
  <c r="H18" i="2"/>
  <c r="D17" i="2"/>
  <c r="G17" i="2"/>
  <c r="D22" i="1"/>
  <c r="D18" i="3" l="1"/>
  <c r="H19" i="3"/>
  <c r="G18" i="3"/>
  <c r="D18" i="2"/>
  <c r="H19" i="2"/>
  <c r="G18" i="2"/>
  <c r="D19" i="3" l="1"/>
  <c r="G19" i="3"/>
  <c r="D19" i="2"/>
  <c r="G19" i="2"/>
</calcChain>
</file>

<file path=xl/sharedStrings.xml><?xml version="1.0" encoding="utf-8"?>
<sst xmlns="http://schemas.openxmlformats.org/spreadsheetml/2006/main" count="213" uniqueCount="56">
  <si>
    <t>Bảng giá Combo 16</t>
  </si>
  <si>
    <t>Dòng sứ</t>
  </si>
  <si>
    <t>Xuất xứ</t>
  </si>
  <si>
    <t>Giá niêm yết/răng</t>
  </si>
  <si>
    <t>Đơn giá 16 răng</t>
  </si>
  <si>
    <t>Giảm</t>
  </si>
  <si>
    <t>Giá sau giảm/ 1 răng</t>
  </si>
  <si>
    <t>Giá sau giảm/16 răng</t>
  </si>
  <si>
    <t>Bảo hành</t>
  </si>
  <si>
    <t>Khuyến mãi</t>
  </si>
  <si>
    <t>Zirconia HT</t>
  </si>
  <si>
    <t>Đức</t>
  </si>
  <si>
    <t>2 năm</t>
  </si>
  <si>
    <t>CVR trong thời gian bảo hành</t>
  </si>
  <si>
    <t>DDBIO</t>
  </si>
  <si>
    <t>10 năm</t>
  </si>
  <si>
    <t>Cercon</t>
  </si>
  <si>
    <t>7 năm</t>
  </si>
  <si>
    <t xml:space="preserve">5 năm bảo hành + CVR </t>
  </si>
  <si>
    <t>Cercon HT</t>
  </si>
  <si>
    <t xml:space="preserve">7 năm bảo hành + CVR </t>
  </si>
  <si>
    <t>HT Smile</t>
  </si>
  <si>
    <t>5 năm bảo hành + CVR + bàn chải điện</t>
  </si>
  <si>
    <t>Ceramil</t>
  </si>
  <si>
    <t>7 năm bảo hành + CVR + bàn chải điện</t>
  </si>
  <si>
    <t>Cercon HT Multilayer</t>
  </si>
  <si>
    <t>10 năm bảo hành + CVR + bàn chải điện</t>
  </si>
  <si>
    <t>Nacera</t>
  </si>
  <si>
    <t xml:space="preserve"> 10 năm bảo hành + CVR + Bàn chải điện</t>
  </si>
  <si>
    <t>Lava 3M ESTHETIC</t>
  </si>
  <si>
    <t>Mỹ</t>
  </si>
  <si>
    <t>15 năm</t>
  </si>
  <si>
    <t>Orodent Hight tranlucent</t>
  </si>
  <si>
    <t xml:space="preserve">Ý </t>
  </si>
  <si>
    <t>19 năm</t>
  </si>
  <si>
    <t xml:space="preserve">Orodent Gold </t>
  </si>
  <si>
    <t>15 năm + CVR + bàn chải điện</t>
  </si>
  <si>
    <t>Orodent Bleach</t>
  </si>
  <si>
    <t>Trọn đời + CVR + Bàn chải điện</t>
  </si>
  <si>
    <t>Veneer Emax có mài</t>
  </si>
  <si>
    <t>Tặng 5 năm + CVR + Bàn chải điện</t>
  </si>
  <si>
    <t>Veneer Lisi có mài</t>
  </si>
  <si>
    <t>Nhật</t>
  </si>
  <si>
    <t>Veneer Emax</t>
  </si>
  <si>
    <t>Giá sau giảm/10 răng</t>
  </si>
  <si>
    <t>Orodent High Translucent</t>
  </si>
  <si>
    <t>Đơn giá 2-8 răng</t>
  </si>
  <si>
    <t>Giá sau giảm/8 răng</t>
  </si>
  <si>
    <t>Lưu ý</t>
  </si>
  <si>
    <t>Bảng giá 9-15 từ Nacera trở lên xin quản lý BCĐ</t>
  </si>
  <si>
    <t>Bảng giá 2-8 từ lava plus trở lên xin quản lý BCĐ</t>
  </si>
  <si>
    <t>Đơn giá 10 răng</t>
  </si>
  <si>
    <t>Bảng giá Combo 8 răng</t>
  </si>
  <si>
    <t>Bảng giá Combo 10 răng</t>
  </si>
  <si>
    <t xml:space="preserve">3 năm bảo hành + CVR </t>
  </si>
  <si>
    <t xml:space="preserve"> 7 năm bảo hành + CVR + Bàn chải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</si>
</sst>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9" fontId="4" fillId="3" borderId="1" xfId="2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4" fillId="5" borderId="1" xfId="2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9" fontId="4" fillId="4" borderId="1" xfId="2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9" fontId="2" fillId="6" borderId="1" xfId="2" applyFont="1" applyFill="1" applyBorder="1" applyAlignment="1">
      <alignment horizontal="center" vertical="center"/>
    </xf>
    <xf numFmtId="164" fontId="8" fillId="6" borderId="1" xfId="1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/>
    </xf>
    <xf numFmtId="164" fontId="6" fillId="7" borderId="1" xfId="1" applyNumberFormat="1" applyFont="1" applyFill="1" applyBorder="1" applyAlignment="1">
      <alignment vertical="center"/>
    </xf>
    <xf numFmtId="9" fontId="4" fillId="7" borderId="1" xfId="2" applyFont="1" applyFill="1" applyBorder="1"/>
    <xf numFmtId="164" fontId="3" fillId="7" borderId="1" xfId="0" applyNumberFormat="1" applyFont="1" applyFill="1" applyBorder="1"/>
    <xf numFmtId="164" fontId="7" fillId="7" borderId="1" xfId="0" applyNumberFormat="1" applyFont="1" applyFill="1" applyBorder="1"/>
    <xf numFmtId="164" fontId="3" fillId="7" borderId="1" xfId="1" applyNumberFormat="1" applyFont="1" applyFill="1" applyBorder="1" applyAlignment="1">
      <alignment vertical="center"/>
    </xf>
    <xf numFmtId="164" fontId="3" fillId="3" borderId="2" xfId="0" applyNumberFormat="1" applyFont="1" applyFill="1" applyBorder="1"/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2" borderId="1" xfId="1" applyNumberFormat="1" applyFont="1" applyFill="1" applyBorder="1"/>
    <xf numFmtId="9" fontId="4" fillId="2" borderId="1" xfId="2" applyFont="1" applyFill="1" applyBorder="1"/>
    <xf numFmtId="164" fontId="3" fillId="2" borderId="1" xfId="0" applyNumberFormat="1" applyFont="1" applyFill="1" applyBorder="1"/>
    <xf numFmtId="164" fontId="7" fillId="2" borderId="1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349129</xdr:colOff>
      <xdr:row>4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149354" cy="895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158629</xdr:colOff>
      <xdr:row>4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526216</xdr:colOff>
      <xdr:row>4</xdr:row>
      <xdr:rowOff>117799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67"/>
  <sheetViews>
    <sheetView showGridLines="0" tabSelected="1" workbookViewId="0">
      <selection activeCell="G13" sqref="G13"/>
    </sheetView>
  </sheetViews>
  <sheetFormatPr defaultColWidth="8.7265625" defaultRowHeight="14" x14ac:dyDescent="0.3"/>
  <cols>
    <col min="1" max="1" width="27" style="1" customWidth="1"/>
    <col min="2" max="2" width="8.7265625" style="1"/>
    <col min="3" max="3" width="17.7265625" style="1" customWidth="1"/>
    <col min="4" max="4" width="17.1796875" style="1" customWidth="1"/>
    <col min="5" max="5" width="8.7265625" style="8"/>
    <col min="6" max="6" width="14.1796875" style="1" customWidth="1"/>
    <col min="7" max="7" width="20.54296875" style="8" customWidth="1"/>
    <col min="8" max="8" width="11.1796875" style="1" customWidth="1"/>
    <col min="9" max="9" width="13.1796875" style="1" customWidth="1"/>
    <col min="10" max="10" width="37.54296875" style="1" customWidth="1"/>
    <col min="11" max="16384" width="8.7265625" style="1"/>
  </cols>
  <sheetData>
    <row r="6" spans="1:10" ht="15" x14ac:dyDescent="0.3">
      <c r="A6" s="61" t="s">
        <v>0</v>
      </c>
      <c r="B6" s="61"/>
      <c r="C6" s="61"/>
      <c r="D6" s="61"/>
      <c r="E6" s="61"/>
      <c r="F6" s="61"/>
      <c r="G6" s="61"/>
      <c r="H6" s="61"/>
    </row>
    <row r="7" spans="1:10" x14ac:dyDescent="0.3">
      <c r="A7" s="21" t="s">
        <v>1</v>
      </c>
      <c r="B7" s="21" t="s">
        <v>2</v>
      </c>
      <c r="C7" s="22" t="s">
        <v>3</v>
      </c>
      <c r="D7" s="22" t="s">
        <v>4</v>
      </c>
      <c r="E7" s="23" t="s">
        <v>5</v>
      </c>
      <c r="F7" s="24" t="s">
        <v>6</v>
      </c>
      <c r="G7" s="22" t="s">
        <v>7</v>
      </c>
      <c r="H7" s="21">
        <v>16</v>
      </c>
      <c r="I7" s="13" t="s">
        <v>8</v>
      </c>
      <c r="J7" s="2" t="s">
        <v>9</v>
      </c>
    </row>
    <row r="8" spans="1:10" ht="17.5" x14ac:dyDescent="0.35">
      <c r="A8" s="46" t="s">
        <v>10</v>
      </c>
      <c r="B8" s="25" t="s">
        <v>11</v>
      </c>
      <c r="C8" s="40">
        <v>2500000</v>
      </c>
      <c r="D8" s="26">
        <f t="shared" ref="D8:D19" si="0">C8*H8</f>
        <v>40000000</v>
      </c>
      <c r="E8" s="41">
        <v>0.4</v>
      </c>
      <c r="F8" s="42">
        <f t="shared" ref="F8:F19" si="1">C8-(C8*E8)</f>
        <v>1500000</v>
      </c>
      <c r="G8" s="43">
        <f t="shared" ref="G8:G22" si="2">F8*H8</f>
        <v>24000000</v>
      </c>
      <c r="H8" s="29">
        <f>H7</f>
        <v>16</v>
      </c>
      <c r="I8" s="45" t="s">
        <v>12</v>
      </c>
      <c r="J8" s="5" t="s">
        <v>13</v>
      </c>
    </row>
    <row r="9" spans="1:10" ht="17.5" x14ac:dyDescent="0.35">
      <c r="A9" s="47" t="s">
        <v>14</v>
      </c>
      <c r="B9" s="30" t="s">
        <v>11</v>
      </c>
      <c r="C9" s="44">
        <v>3500000</v>
      </c>
      <c r="D9" s="26">
        <f t="shared" si="0"/>
        <v>56000000</v>
      </c>
      <c r="E9" s="41">
        <v>0.4</v>
      </c>
      <c r="F9" s="42">
        <f t="shared" si="1"/>
        <v>2100000</v>
      </c>
      <c r="G9" s="43">
        <f t="shared" si="2"/>
        <v>33600000</v>
      </c>
      <c r="H9" s="29">
        <f>H8</f>
        <v>16</v>
      </c>
      <c r="I9" s="45" t="s">
        <v>15</v>
      </c>
      <c r="J9" s="5" t="s">
        <v>13</v>
      </c>
    </row>
    <row r="10" spans="1:10" ht="17.5" x14ac:dyDescent="0.35">
      <c r="A10" s="47" t="s">
        <v>16</v>
      </c>
      <c r="B10" s="30" t="s">
        <v>11</v>
      </c>
      <c r="C10" s="44">
        <v>4000000</v>
      </c>
      <c r="D10" s="26">
        <f t="shared" si="0"/>
        <v>64000000</v>
      </c>
      <c r="E10" s="41">
        <v>0.37</v>
      </c>
      <c r="F10" s="42">
        <f t="shared" si="1"/>
        <v>2520000</v>
      </c>
      <c r="G10" s="43">
        <f t="shared" si="2"/>
        <v>40320000</v>
      </c>
      <c r="H10" s="29">
        <f t="shared" ref="H10:H19" si="3">H8</f>
        <v>16</v>
      </c>
      <c r="I10" s="45" t="s">
        <v>17</v>
      </c>
      <c r="J10" s="5" t="s">
        <v>18</v>
      </c>
    </row>
    <row r="11" spans="1:10" ht="17.5" x14ac:dyDescent="0.35">
      <c r="A11" s="47" t="s">
        <v>19</v>
      </c>
      <c r="B11" s="30" t="s">
        <v>11</v>
      </c>
      <c r="C11" s="44">
        <v>6000000</v>
      </c>
      <c r="D11" s="26">
        <f t="shared" si="0"/>
        <v>96000000</v>
      </c>
      <c r="E11" s="41">
        <v>0.45</v>
      </c>
      <c r="F11" s="42">
        <f t="shared" si="1"/>
        <v>3300000</v>
      </c>
      <c r="G11" s="43">
        <f t="shared" si="2"/>
        <v>52800000</v>
      </c>
      <c r="H11" s="29">
        <f t="shared" si="3"/>
        <v>16</v>
      </c>
      <c r="I11" s="45" t="s">
        <v>17</v>
      </c>
      <c r="J11" s="5" t="s">
        <v>20</v>
      </c>
    </row>
    <row r="12" spans="1:10" ht="17.5" x14ac:dyDescent="0.35">
      <c r="A12" s="47" t="s">
        <v>21</v>
      </c>
      <c r="B12" s="30" t="s">
        <v>11</v>
      </c>
      <c r="C12" s="44">
        <v>7500000</v>
      </c>
      <c r="D12" s="26">
        <f t="shared" si="0"/>
        <v>120000000</v>
      </c>
      <c r="E12" s="41">
        <v>0.45</v>
      </c>
      <c r="F12" s="42">
        <f t="shared" si="1"/>
        <v>4125000</v>
      </c>
      <c r="G12" s="43">
        <f t="shared" si="2"/>
        <v>66000000</v>
      </c>
      <c r="H12" s="29">
        <f t="shared" si="3"/>
        <v>16</v>
      </c>
      <c r="I12" s="45" t="s">
        <v>15</v>
      </c>
      <c r="J12" s="5" t="s">
        <v>22</v>
      </c>
    </row>
    <row r="13" spans="1:10" ht="17.5" x14ac:dyDescent="0.35">
      <c r="A13" s="47" t="s">
        <v>23</v>
      </c>
      <c r="B13" s="30" t="s">
        <v>11</v>
      </c>
      <c r="C13" s="44">
        <v>8500000</v>
      </c>
      <c r="D13" s="26">
        <f t="shared" si="0"/>
        <v>136000000</v>
      </c>
      <c r="E13" s="41">
        <v>0.45</v>
      </c>
      <c r="F13" s="42">
        <f t="shared" si="1"/>
        <v>4675000</v>
      </c>
      <c r="G13" s="43">
        <f t="shared" si="2"/>
        <v>74800000</v>
      </c>
      <c r="H13" s="29">
        <f t="shared" si="3"/>
        <v>16</v>
      </c>
      <c r="I13" s="45" t="s">
        <v>15</v>
      </c>
      <c r="J13" s="5" t="s">
        <v>24</v>
      </c>
    </row>
    <row r="14" spans="1:10" ht="18.75" customHeight="1" x14ac:dyDescent="0.35">
      <c r="A14" s="47" t="s">
        <v>25</v>
      </c>
      <c r="B14" s="30" t="s">
        <v>11</v>
      </c>
      <c r="C14" s="44">
        <v>9000000</v>
      </c>
      <c r="D14" s="26">
        <f t="shared" si="0"/>
        <v>144000000</v>
      </c>
      <c r="E14" s="41">
        <v>0.45</v>
      </c>
      <c r="F14" s="42">
        <f t="shared" si="1"/>
        <v>4950000</v>
      </c>
      <c r="G14" s="43">
        <f t="shared" si="2"/>
        <v>79200000</v>
      </c>
      <c r="H14" s="29">
        <f t="shared" si="3"/>
        <v>16</v>
      </c>
      <c r="I14" s="45" t="s">
        <v>17</v>
      </c>
      <c r="J14" s="5" t="s">
        <v>26</v>
      </c>
    </row>
    <row r="15" spans="1:10" ht="17.5" x14ac:dyDescent="0.35">
      <c r="A15" s="47" t="s">
        <v>27</v>
      </c>
      <c r="B15" s="30" t="s">
        <v>11</v>
      </c>
      <c r="C15" s="44">
        <v>10000000</v>
      </c>
      <c r="D15" s="26">
        <f t="shared" si="0"/>
        <v>160000000</v>
      </c>
      <c r="E15" s="41">
        <v>0.45</v>
      </c>
      <c r="F15" s="42">
        <f t="shared" si="1"/>
        <v>5500000</v>
      </c>
      <c r="G15" s="43">
        <f t="shared" si="2"/>
        <v>88000000</v>
      </c>
      <c r="H15" s="29">
        <f t="shared" si="3"/>
        <v>16</v>
      </c>
      <c r="I15" s="45" t="s">
        <v>15</v>
      </c>
      <c r="J15" s="5" t="s">
        <v>28</v>
      </c>
    </row>
    <row r="16" spans="1:10" ht="17.5" x14ac:dyDescent="0.35">
      <c r="A16" s="47" t="s">
        <v>29</v>
      </c>
      <c r="B16" s="30" t="s">
        <v>30</v>
      </c>
      <c r="C16" s="44">
        <v>11500000</v>
      </c>
      <c r="D16" s="26">
        <f t="shared" si="0"/>
        <v>184000000</v>
      </c>
      <c r="E16" s="41">
        <v>0.45</v>
      </c>
      <c r="F16" s="42">
        <f t="shared" si="1"/>
        <v>6325000</v>
      </c>
      <c r="G16" s="43">
        <f t="shared" si="2"/>
        <v>101200000</v>
      </c>
      <c r="H16" s="29">
        <f t="shared" si="3"/>
        <v>16</v>
      </c>
      <c r="I16" s="45" t="s">
        <v>31</v>
      </c>
      <c r="J16" s="5" t="s">
        <v>28</v>
      </c>
    </row>
    <row r="17" spans="1:10" ht="17.5" x14ac:dyDescent="0.35">
      <c r="A17" s="47" t="s">
        <v>32</v>
      </c>
      <c r="B17" s="30" t="s">
        <v>33</v>
      </c>
      <c r="C17" s="44">
        <v>12000000</v>
      </c>
      <c r="D17" s="26">
        <f t="shared" si="0"/>
        <v>192000000</v>
      </c>
      <c r="E17" s="41">
        <v>0.4</v>
      </c>
      <c r="F17" s="42">
        <f t="shared" si="1"/>
        <v>7200000</v>
      </c>
      <c r="G17" s="43">
        <f t="shared" si="2"/>
        <v>115200000</v>
      </c>
      <c r="H17" s="29">
        <f t="shared" si="3"/>
        <v>16</v>
      </c>
      <c r="I17" s="45" t="s">
        <v>34</v>
      </c>
      <c r="J17" s="5" t="s">
        <v>28</v>
      </c>
    </row>
    <row r="18" spans="1:10" ht="17.5" x14ac:dyDescent="0.35">
      <c r="A18" s="47" t="s">
        <v>35</v>
      </c>
      <c r="B18" s="30" t="s">
        <v>33</v>
      </c>
      <c r="C18" s="44">
        <v>14000000</v>
      </c>
      <c r="D18" s="26">
        <f t="shared" si="0"/>
        <v>224000000</v>
      </c>
      <c r="E18" s="41">
        <v>0.35</v>
      </c>
      <c r="F18" s="42">
        <f t="shared" si="1"/>
        <v>9100000</v>
      </c>
      <c r="G18" s="43">
        <f t="shared" si="2"/>
        <v>145600000</v>
      </c>
      <c r="H18" s="29">
        <f t="shared" si="3"/>
        <v>16</v>
      </c>
      <c r="I18" s="45" t="s">
        <v>34</v>
      </c>
      <c r="J18" s="5" t="s">
        <v>36</v>
      </c>
    </row>
    <row r="19" spans="1:10" ht="17.5" x14ac:dyDescent="0.35">
      <c r="A19" s="47" t="s">
        <v>37</v>
      </c>
      <c r="B19" s="30" t="s">
        <v>33</v>
      </c>
      <c r="C19" s="44">
        <v>14000000</v>
      </c>
      <c r="D19" s="26">
        <f t="shared" si="0"/>
        <v>224000000</v>
      </c>
      <c r="E19" s="41">
        <v>0.32</v>
      </c>
      <c r="F19" s="42">
        <f t="shared" si="1"/>
        <v>9520000</v>
      </c>
      <c r="G19" s="43">
        <f t="shared" si="2"/>
        <v>152320000</v>
      </c>
      <c r="H19" s="29">
        <f t="shared" si="3"/>
        <v>16</v>
      </c>
      <c r="I19" s="45" t="s">
        <v>34</v>
      </c>
      <c r="J19" s="5" t="s">
        <v>38</v>
      </c>
    </row>
    <row r="20" spans="1:10" ht="17.5" x14ac:dyDescent="0.35">
      <c r="A20" s="6"/>
      <c r="B20" s="6"/>
      <c r="C20" s="7"/>
      <c r="D20" s="3"/>
      <c r="E20" s="4"/>
      <c r="F20" s="5"/>
      <c r="G20" s="43">
        <f t="shared" si="2"/>
        <v>0</v>
      </c>
      <c r="H20" s="29"/>
      <c r="I20" s="5"/>
      <c r="J20" s="5"/>
    </row>
    <row r="21" spans="1:10" ht="17.5" x14ac:dyDescent="0.35">
      <c r="A21" s="57" t="s">
        <v>39</v>
      </c>
      <c r="B21" s="49" t="s">
        <v>11</v>
      </c>
      <c r="C21" s="57">
        <v>8000000</v>
      </c>
      <c r="D21" s="51">
        <f>C21*H21</f>
        <v>128000000</v>
      </c>
      <c r="E21" s="58">
        <v>0.3</v>
      </c>
      <c r="F21" s="59">
        <f>C21-(C21*E21)</f>
        <v>5600000</v>
      </c>
      <c r="G21" s="60">
        <f t="shared" si="2"/>
        <v>89600000</v>
      </c>
      <c r="H21" s="2">
        <f>H7</f>
        <v>16</v>
      </c>
      <c r="I21" s="57" t="s">
        <v>15</v>
      </c>
      <c r="J21" s="57" t="s">
        <v>40</v>
      </c>
    </row>
    <row r="22" spans="1:10" ht="17.5" x14ac:dyDescent="0.35">
      <c r="A22" s="57" t="s">
        <v>43</v>
      </c>
      <c r="B22" s="49" t="s">
        <v>11</v>
      </c>
      <c r="C22" s="57">
        <v>10000000</v>
      </c>
      <c r="D22" s="51">
        <f>C22*H22</f>
        <v>160000000</v>
      </c>
      <c r="E22" s="58">
        <v>0.3</v>
      </c>
      <c r="F22" s="59">
        <f>C22-(C22*E22)</f>
        <v>7000000</v>
      </c>
      <c r="G22" s="60">
        <f t="shared" si="2"/>
        <v>112000000</v>
      </c>
      <c r="H22" s="2">
        <f t="shared" ref="H22:H23" si="4">H8</f>
        <v>16</v>
      </c>
      <c r="I22" s="57" t="s">
        <v>15</v>
      </c>
      <c r="J22" s="57" t="s">
        <v>40</v>
      </c>
    </row>
    <row r="23" spans="1:10" ht="17.5" x14ac:dyDescent="0.35">
      <c r="A23" s="57" t="s">
        <v>41</v>
      </c>
      <c r="B23" s="49" t="s">
        <v>42</v>
      </c>
      <c r="C23" s="57">
        <v>15000000</v>
      </c>
      <c r="D23" s="51">
        <f>C23*H23</f>
        <v>240000000</v>
      </c>
      <c r="E23" s="58">
        <v>0.3</v>
      </c>
      <c r="F23" s="59">
        <f>C23-(C23*E23)</f>
        <v>10500000</v>
      </c>
      <c r="G23" s="60">
        <f>F23*H23</f>
        <v>168000000</v>
      </c>
      <c r="H23" s="2">
        <f t="shared" si="4"/>
        <v>16</v>
      </c>
      <c r="I23" s="57" t="s">
        <v>15</v>
      </c>
      <c r="J23" s="57" t="s">
        <v>40</v>
      </c>
    </row>
    <row r="24" spans="1:10" x14ac:dyDescent="0.3">
      <c r="G24" s="9"/>
    </row>
    <row r="25" spans="1:10" x14ac:dyDescent="0.3">
      <c r="G25" s="9"/>
    </row>
    <row r="65" spans="1:1" x14ac:dyDescent="0.3">
      <c r="A65" s="8" t="s">
        <v>48</v>
      </c>
    </row>
    <row r="66" spans="1:1" x14ac:dyDescent="0.3">
      <c r="A66" s="1" t="s">
        <v>49</v>
      </c>
    </row>
    <row r="67" spans="1:1" x14ac:dyDescent="0.3">
      <c r="A67" s="1" t="s">
        <v>50</v>
      </c>
    </row>
  </sheetData>
  <mergeCells count="1">
    <mergeCell ref="A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topLeftCell="A7" zoomScaleNormal="100" workbookViewId="0">
      <selection activeCell="F21" sqref="F21:F23"/>
    </sheetView>
  </sheetViews>
  <sheetFormatPr defaultColWidth="9.1796875" defaultRowHeight="14.5" x14ac:dyDescent="0.35"/>
  <cols>
    <col min="1" max="1" width="29.81640625" style="20" customWidth="1"/>
    <col min="2" max="2" width="8.26953125" style="20" customWidth="1"/>
    <col min="3" max="3" width="16" style="20" customWidth="1"/>
    <col min="4" max="4" width="18.54296875" style="20" customWidth="1"/>
    <col min="5" max="5" width="10.26953125" style="20" customWidth="1"/>
    <col min="6" max="6" width="20.54296875" style="20" customWidth="1"/>
    <col min="7" max="7" width="26.7265625" style="20" customWidth="1"/>
    <col min="8" max="8" width="10" style="20" customWidth="1"/>
    <col min="9" max="9" width="9.453125" style="20" customWidth="1"/>
    <col min="10" max="10" width="41.26953125" style="20" customWidth="1"/>
    <col min="11" max="14" width="19.81640625" style="20" customWidth="1"/>
    <col min="15" max="15" width="9.1796875" style="20" customWidth="1"/>
    <col min="16" max="16384" width="9.1796875" style="20"/>
  </cols>
  <sheetData>
    <row r="1" spans="1:10" x14ac:dyDescent="0.35">
      <c r="A1" s="62"/>
      <c r="B1" s="62"/>
      <c r="C1" s="62"/>
      <c r="D1" s="62"/>
      <c r="E1" s="62"/>
      <c r="F1" s="62"/>
      <c r="G1" s="62"/>
    </row>
    <row r="2" spans="1:10" x14ac:dyDescent="0.35">
      <c r="A2" s="62"/>
      <c r="B2" s="62"/>
      <c r="C2" s="62"/>
      <c r="D2" s="62"/>
      <c r="E2" s="62"/>
      <c r="F2" s="62"/>
      <c r="G2" s="62"/>
    </row>
    <row r="3" spans="1:10" x14ac:dyDescent="0.35">
      <c r="A3" s="62"/>
      <c r="B3" s="62"/>
      <c r="C3" s="62"/>
      <c r="D3" s="62"/>
      <c r="E3" s="62"/>
      <c r="F3" s="62"/>
      <c r="G3" s="62"/>
    </row>
    <row r="6" spans="1:10" s="17" customFormat="1" ht="15" x14ac:dyDescent="0.3">
      <c r="A6" s="61" t="s">
        <v>53</v>
      </c>
      <c r="B6" s="61"/>
      <c r="C6" s="61"/>
      <c r="D6" s="61"/>
      <c r="E6" s="61"/>
      <c r="F6" s="61"/>
      <c r="G6" s="61"/>
      <c r="H6" s="61"/>
    </row>
    <row r="7" spans="1:10" s="17" customFormat="1" ht="15" x14ac:dyDescent="0.3">
      <c r="A7" s="35" t="s">
        <v>1</v>
      </c>
      <c r="B7" s="35" t="s">
        <v>2</v>
      </c>
      <c r="C7" s="36" t="s">
        <v>3</v>
      </c>
      <c r="D7" s="36" t="s">
        <v>51</v>
      </c>
      <c r="E7" s="37" t="s">
        <v>5</v>
      </c>
      <c r="F7" s="38" t="s">
        <v>6</v>
      </c>
      <c r="G7" s="36" t="s">
        <v>44</v>
      </c>
      <c r="H7" s="35">
        <v>10</v>
      </c>
      <c r="I7" s="13" t="s">
        <v>8</v>
      </c>
      <c r="J7" s="2" t="s">
        <v>9</v>
      </c>
    </row>
    <row r="8" spans="1:10" s="17" customFormat="1" ht="17.5" x14ac:dyDescent="0.35">
      <c r="A8" s="46" t="s">
        <v>10</v>
      </c>
      <c r="B8" s="25" t="s">
        <v>11</v>
      </c>
      <c r="C8" s="26">
        <v>2500000</v>
      </c>
      <c r="D8" s="26">
        <f t="shared" ref="D8:D23" si="0">C8*H8</f>
        <v>25000000</v>
      </c>
      <c r="E8" s="27">
        <v>0.25</v>
      </c>
      <c r="F8" s="28">
        <f t="shared" ref="F8:F23" si="1">C8-(C8*E8)</f>
        <v>1875000</v>
      </c>
      <c r="G8" s="39">
        <f t="shared" ref="G8:G23" si="2">F8*H8</f>
        <v>18750000</v>
      </c>
      <c r="H8" s="10">
        <f t="shared" ref="H8:H19" si="3">H7</f>
        <v>10</v>
      </c>
      <c r="I8" s="34" t="s">
        <v>12</v>
      </c>
      <c r="J8" s="19" t="s">
        <v>13</v>
      </c>
    </row>
    <row r="9" spans="1:10" s="17" customFormat="1" ht="17.5" x14ac:dyDescent="0.35">
      <c r="A9" s="47" t="s">
        <v>14</v>
      </c>
      <c r="B9" s="30" t="s">
        <v>11</v>
      </c>
      <c r="C9" s="31">
        <v>3500000</v>
      </c>
      <c r="D9" s="26">
        <f t="shared" si="0"/>
        <v>35000000</v>
      </c>
      <c r="E9" s="27">
        <v>0.25</v>
      </c>
      <c r="F9" s="28">
        <f t="shared" si="1"/>
        <v>2625000</v>
      </c>
      <c r="G9" s="39">
        <f t="shared" si="2"/>
        <v>26250000</v>
      </c>
      <c r="H9" s="10">
        <f t="shared" si="3"/>
        <v>10</v>
      </c>
      <c r="I9" s="34" t="s">
        <v>15</v>
      </c>
      <c r="J9" s="19" t="s">
        <v>13</v>
      </c>
    </row>
    <row r="10" spans="1:10" s="17" customFormat="1" ht="17.5" x14ac:dyDescent="0.35">
      <c r="A10" s="47" t="s">
        <v>16</v>
      </c>
      <c r="B10" s="30" t="s">
        <v>11</v>
      </c>
      <c r="C10" s="31">
        <v>4000000</v>
      </c>
      <c r="D10" s="26">
        <f t="shared" si="0"/>
        <v>40000000</v>
      </c>
      <c r="E10" s="27">
        <v>0.25</v>
      </c>
      <c r="F10" s="28">
        <f t="shared" si="1"/>
        <v>3000000</v>
      </c>
      <c r="G10" s="39">
        <f t="shared" si="2"/>
        <v>30000000</v>
      </c>
      <c r="H10" s="10">
        <f t="shared" si="3"/>
        <v>10</v>
      </c>
      <c r="I10" s="34" t="s">
        <v>17</v>
      </c>
      <c r="J10" s="19" t="s">
        <v>54</v>
      </c>
    </row>
    <row r="11" spans="1:10" s="17" customFormat="1" ht="17.5" x14ac:dyDescent="0.35">
      <c r="A11" s="47" t="s">
        <v>19</v>
      </c>
      <c r="B11" s="30" t="s">
        <v>11</v>
      </c>
      <c r="C11" s="31">
        <v>6000000</v>
      </c>
      <c r="D11" s="26">
        <f t="shared" si="0"/>
        <v>60000000</v>
      </c>
      <c r="E11" s="27">
        <v>0.25</v>
      </c>
      <c r="F11" s="28">
        <f t="shared" si="1"/>
        <v>4500000</v>
      </c>
      <c r="G11" s="39">
        <f t="shared" si="2"/>
        <v>45000000</v>
      </c>
      <c r="H11" s="10">
        <f t="shared" si="3"/>
        <v>10</v>
      </c>
      <c r="I11" s="34" t="s">
        <v>17</v>
      </c>
      <c r="J11" s="19" t="s">
        <v>18</v>
      </c>
    </row>
    <row r="12" spans="1:10" s="17" customFormat="1" ht="17.5" x14ac:dyDescent="0.35">
      <c r="A12" s="47" t="s">
        <v>21</v>
      </c>
      <c r="B12" s="30" t="s">
        <v>11</v>
      </c>
      <c r="C12" s="31">
        <v>7500000</v>
      </c>
      <c r="D12" s="26">
        <f t="shared" si="0"/>
        <v>75000000</v>
      </c>
      <c r="E12" s="27">
        <v>0.25</v>
      </c>
      <c r="F12" s="28">
        <f t="shared" si="1"/>
        <v>5625000</v>
      </c>
      <c r="G12" s="39">
        <f t="shared" si="2"/>
        <v>56250000</v>
      </c>
      <c r="H12" s="10">
        <f t="shared" si="3"/>
        <v>10</v>
      </c>
      <c r="I12" s="34" t="s">
        <v>15</v>
      </c>
      <c r="J12" s="19" t="s">
        <v>18</v>
      </c>
    </row>
    <row r="13" spans="1:10" s="17" customFormat="1" ht="17.5" x14ac:dyDescent="0.35">
      <c r="A13" s="47" t="s">
        <v>23</v>
      </c>
      <c r="B13" s="30" t="s">
        <v>11</v>
      </c>
      <c r="C13" s="31">
        <v>8500000</v>
      </c>
      <c r="D13" s="26">
        <f t="shared" si="0"/>
        <v>85000000</v>
      </c>
      <c r="E13" s="27">
        <v>0.25</v>
      </c>
      <c r="F13" s="28">
        <f t="shared" si="1"/>
        <v>6375000</v>
      </c>
      <c r="G13" s="39">
        <f t="shared" si="2"/>
        <v>63750000</v>
      </c>
      <c r="H13" s="10">
        <f t="shared" si="3"/>
        <v>10</v>
      </c>
      <c r="I13" s="34" t="s">
        <v>15</v>
      </c>
      <c r="J13" s="19" t="s">
        <v>24</v>
      </c>
    </row>
    <row r="14" spans="1:10" s="17" customFormat="1" ht="17.5" x14ac:dyDescent="0.35">
      <c r="A14" s="47" t="s">
        <v>25</v>
      </c>
      <c r="B14" s="30" t="s">
        <v>11</v>
      </c>
      <c r="C14" s="31">
        <v>9000000</v>
      </c>
      <c r="D14" s="26">
        <f t="shared" si="0"/>
        <v>90000000</v>
      </c>
      <c r="E14" s="27">
        <v>0.25</v>
      </c>
      <c r="F14" s="28">
        <f t="shared" si="1"/>
        <v>6750000</v>
      </c>
      <c r="G14" s="39">
        <f t="shared" si="2"/>
        <v>67500000</v>
      </c>
      <c r="H14" s="10">
        <f t="shared" si="3"/>
        <v>10</v>
      </c>
      <c r="I14" s="34" t="s">
        <v>17</v>
      </c>
      <c r="J14" s="19" t="s">
        <v>26</v>
      </c>
    </row>
    <row r="15" spans="1:10" s="17" customFormat="1" ht="17.5" x14ac:dyDescent="0.35">
      <c r="A15" s="47" t="s">
        <v>27</v>
      </c>
      <c r="B15" s="30" t="s">
        <v>11</v>
      </c>
      <c r="C15" s="31">
        <v>10000000</v>
      </c>
      <c r="D15" s="26">
        <f t="shared" si="0"/>
        <v>100000000</v>
      </c>
      <c r="E15" s="27">
        <v>0.25</v>
      </c>
      <c r="F15" s="28">
        <f t="shared" si="1"/>
        <v>7500000</v>
      </c>
      <c r="G15" s="39">
        <f t="shared" si="2"/>
        <v>75000000</v>
      </c>
      <c r="H15" s="10">
        <f t="shared" si="3"/>
        <v>10</v>
      </c>
      <c r="I15" s="34" t="s">
        <v>15</v>
      </c>
      <c r="J15" s="19" t="s">
        <v>28</v>
      </c>
    </row>
    <row r="16" spans="1:10" s="17" customFormat="1" ht="17.5" x14ac:dyDescent="0.35">
      <c r="A16" s="47" t="s">
        <v>29</v>
      </c>
      <c r="B16" s="30" t="s">
        <v>30</v>
      </c>
      <c r="C16" s="31">
        <v>11500000</v>
      </c>
      <c r="D16" s="26">
        <f t="shared" si="0"/>
        <v>115000000</v>
      </c>
      <c r="E16" s="27">
        <v>0.3</v>
      </c>
      <c r="F16" s="28">
        <f t="shared" si="1"/>
        <v>8050000</v>
      </c>
      <c r="G16" s="39">
        <f t="shared" si="2"/>
        <v>80500000</v>
      </c>
      <c r="H16" s="10">
        <f t="shared" si="3"/>
        <v>10</v>
      </c>
      <c r="I16" s="34" t="s">
        <v>31</v>
      </c>
      <c r="J16" s="19" t="s">
        <v>28</v>
      </c>
    </row>
    <row r="17" spans="1:10" s="17" customFormat="1" ht="17.5" x14ac:dyDescent="0.35">
      <c r="A17" s="47" t="s">
        <v>45</v>
      </c>
      <c r="B17" s="30" t="s">
        <v>33</v>
      </c>
      <c r="C17" s="31">
        <v>12000000</v>
      </c>
      <c r="D17" s="26">
        <f t="shared" si="0"/>
        <v>120000000</v>
      </c>
      <c r="E17" s="27">
        <v>0.3</v>
      </c>
      <c r="F17" s="28">
        <f t="shared" si="1"/>
        <v>8400000</v>
      </c>
      <c r="G17" s="39">
        <f t="shared" si="2"/>
        <v>84000000</v>
      </c>
      <c r="H17" s="10">
        <f t="shared" si="3"/>
        <v>10</v>
      </c>
      <c r="I17" s="34" t="s">
        <v>34</v>
      </c>
      <c r="J17" s="19" t="s">
        <v>28</v>
      </c>
    </row>
    <row r="18" spans="1:10" s="17" customFormat="1" ht="17.5" x14ac:dyDescent="0.35">
      <c r="A18" s="47" t="s">
        <v>35</v>
      </c>
      <c r="B18" s="30" t="s">
        <v>33</v>
      </c>
      <c r="C18" s="31">
        <v>14000000</v>
      </c>
      <c r="D18" s="26">
        <f t="shared" si="0"/>
        <v>140000000</v>
      </c>
      <c r="E18" s="27">
        <v>0.3</v>
      </c>
      <c r="F18" s="28">
        <f t="shared" si="1"/>
        <v>9800000</v>
      </c>
      <c r="G18" s="39">
        <f t="shared" si="2"/>
        <v>98000000</v>
      </c>
      <c r="H18" s="10">
        <f t="shared" si="3"/>
        <v>10</v>
      </c>
      <c r="I18" s="34" t="s">
        <v>34</v>
      </c>
      <c r="J18" s="19" t="s">
        <v>36</v>
      </c>
    </row>
    <row r="19" spans="1:10" s="17" customFormat="1" ht="17.5" x14ac:dyDescent="0.35">
      <c r="A19" s="47" t="s">
        <v>37</v>
      </c>
      <c r="B19" s="30" t="s">
        <v>33</v>
      </c>
      <c r="C19" s="31">
        <v>14000000</v>
      </c>
      <c r="D19" s="26">
        <f t="shared" si="0"/>
        <v>140000000</v>
      </c>
      <c r="E19" s="27">
        <v>0.3</v>
      </c>
      <c r="F19" s="28">
        <f t="shared" si="1"/>
        <v>9800000</v>
      </c>
      <c r="G19" s="39">
        <f t="shared" si="2"/>
        <v>98000000</v>
      </c>
      <c r="H19" s="10">
        <f t="shared" si="3"/>
        <v>10</v>
      </c>
      <c r="I19" s="34" t="s">
        <v>34</v>
      </c>
      <c r="J19" s="19" t="s">
        <v>38</v>
      </c>
    </row>
    <row r="20" spans="1:10" s="17" customFormat="1" ht="17.5" x14ac:dyDescent="0.35">
      <c r="A20" s="11"/>
      <c r="B20" s="6"/>
      <c r="C20" s="12"/>
      <c r="D20" s="26">
        <f t="shared" si="0"/>
        <v>0</v>
      </c>
      <c r="E20" s="33"/>
      <c r="F20" s="28">
        <f t="shared" si="1"/>
        <v>0</v>
      </c>
      <c r="G20" s="39"/>
      <c r="H20" s="10"/>
      <c r="I20" s="34"/>
      <c r="J20" s="19"/>
    </row>
    <row r="21" spans="1:10" s="17" customFormat="1" ht="17.5" x14ac:dyDescent="0.35">
      <c r="A21" s="49" t="s">
        <v>39</v>
      </c>
      <c r="B21" s="49" t="s">
        <v>11</v>
      </c>
      <c r="C21" s="50">
        <v>8000000</v>
      </c>
      <c r="D21" s="51">
        <f t="shared" si="0"/>
        <v>80000000</v>
      </c>
      <c r="E21" s="52">
        <v>0.2</v>
      </c>
      <c r="F21" s="53">
        <f t="shared" si="1"/>
        <v>6400000</v>
      </c>
      <c r="G21" s="54">
        <f t="shared" si="2"/>
        <v>64000000</v>
      </c>
      <c r="H21" s="2">
        <f>H7</f>
        <v>10</v>
      </c>
      <c r="I21" s="55" t="s">
        <v>15</v>
      </c>
      <c r="J21" s="56" t="s">
        <v>40</v>
      </c>
    </row>
    <row r="22" spans="1:10" s="17" customFormat="1" ht="17.5" x14ac:dyDescent="0.35">
      <c r="A22" s="49" t="s">
        <v>43</v>
      </c>
      <c r="B22" s="49" t="s">
        <v>11</v>
      </c>
      <c r="C22" s="50">
        <v>10000000</v>
      </c>
      <c r="D22" s="51">
        <f t="shared" si="0"/>
        <v>100000000</v>
      </c>
      <c r="E22" s="52">
        <v>0.2</v>
      </c>
      <c r="F22" s="53">
        <f t="shared" si="1"/>
        <v>8000000</v>
      </c>
      <c r="G22" s="54">
        <f t="shared" si="2"/>
        <v>80000000</v>
      </c>
      <c r="H22" s="2">
        <f t="shared" ref="H22:H23" si="4">H8</f>
        <v>10</v>
      </c>
      <c r="I22" s="55" t="s">
        <v>15</v>
      </c>
      <c r="J22" s="56" t="s">
        <v>40</v>
      </c>
    </row>
    <row r="23" spans="1:10" s="17" customFormat="1" ht="17.5" x14ac:dyDescent="0.35">
      <c r="A23" s="49" t="s">
        <v>41</v>
      </c>
      <c r="B23" s="49" t="s">
        <v>42</v>
      </c>
      <c r="C23" s="50">
        <v>15000000</v>
      </c>
      <c r="D23" s="51">
        <f t="shared" si="0"/>
        <v>150000000</v>
      </c>
      <c r="E23" s="52">
        <v>0.2</v>
      </c>
      <c r="F23" s="53">
        <f t="shared" si="1"/>
        <v>12000000</v>
      </c>
      <c r="G23" s="54">
        <f t="shared" si="2"/>
        <v>120000000</v>
      </c>
      <c r="H23" s="2">
        <f t="shared" si="4"/>
        <v>10</v>
      </c>
      <c r="I23" s="55" t="s">
        <v>15</v>
      </c>
      <c r="J23" s="56" t="s">
        <v>40</v>
      </c>
    </row>
  </sheetData>
  <mergeCells count="2">
    <mergeCell ref="A6:H6"/>
    <mergeCell ref="A1:G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showGridLines="0" topLeftCell="A5" zoomScaleNormal="100" workbookViewId="0">
      <selection activeCell="A21" sqref="A21:J23"/>
    </sheetView>
  </sheetViews>
  <sheetFormatPr defaultColWidth="9.1796875" defaultRowHeight="14.5" x14ac:dyDescent="0.35"/>
  <cols>
    <col min="1" max="1" width="24.26953125" style="20" customWidth="1"/>
    <col min="2" max="2" width="12" style="20" customWidth="1"/>
    <col min="3" max="3" width="17.54296875" style="20" customWidth="1"/>
    <col min="4" max="4" width="17" style="20" customWidth="1"/>
    <col min="5" max="5" width="9.1796875" style="20"/>
    <col min="6" max="6" width="21.54296875" style="20" customWidth="1"/>
    <col min="7" max="7" width="22.54296875" style="20" customWidth="1"/>
    <col min="8" max="8" width="5" style="20" customWidth="1"/>
    <col min="9" max="9" width="10.26953125" style="20" customWidth="1"/>
    <col min="10" max="10" width="37.54296875" style="20" customWidth="1"/>
    <col min="11" max="14" width="23.1796875" style="20" customWidth="1"/>
    <col min="15" max="16384" width="9.1796875" style="20"/>
  </cols>
  <sheetData>
    <row r="1" spans="1:10" x14ac:dyDescent="0.35">
      <c r="A1" s="63"/>
      <c r="B1" s="63"/>
      <c r="C1" s="63"/>
      <c r="D1" s="63"/>
      <c r="E1" s="63"/>
      <c r="F1" s="63"/>
      <c r="G1" s="63"/>
      <c r="H1" s="63"/>
    </row>
    <row r="2" spans="1:10" x14ac:dyDescent="0.35">
      <c r="A2" s="63"/>
      <c r="B2" s="63"/>
      <c r="C2" s="63"/>
      <c r="D2" s="63"/>
      <c r="E2" s="63"/>
      <c r="F2" s="63"/>
      <c r="G2" s="63"/>
      <c r="H2" s="63"/>
    </row>
    <row r="3" spans="1:10" x14ac:dyDescent="0.35">
      <c r="A3" s="63"/>
      <c r="B3" s="63"/>
      <c r="C3" s="63"/>
      <c r="D3" s="63"/>
      <c r="E3" s="63"/>
      <c r="F3" s="63"/>
      <c r="G3" s="63"/>
      <c r="H3" s="63"/>
    </row>
    <row r="4" spans="1:10" s="48" customFormat="1" x14ac:dyDescent="0.35"/>
    <row r="5" spans="1:10" s="48" customFormat="1" x14ac:dyDescent="0.35"/>
    <row r="6" spans="1:10" s="17" customFormat="1" ht="15" x14ac:dyDescent="0.3">
      <c r="A6" s="61" t="s">
        <v>52</v>
      </c>
      <c r="B6" s="61"/>
      <c r="C6" s="61"/>
      <c r="D6" s="61"/>
      <c r="E6" s="61"/>
      <c r="F6" s="61"/>
      <c r="G6" s="61"/>
      <c r="H6" s="61"/>
    </row>
    <row r="7" spans="1:10" s="17" customFormat="1" ht="14" x14ac:dyDescent="0.3">
      <c r="A7" s="21" t="s">
        <v>1</v>
      </c>
      <c r="B7" s="21" t="s">
        <v>2</v>
      </c>
      <c r="C7" s="22" t="s">
        <v>3</v>
      </c>
      <c r="D7" s="22" t="s">
        <v>46</v>
      </c>
      <c r="E7" s="23" t="s">
        <v>5</v>
      </c>
      <c r="F7" s="24" t="s">
        <v>6</v>
      </c>
      <c r="G7" s="22" t="s">
        <v>47</v>
      </c>
      <c r="H7" s="21">
        <v>8</v>
      </c>
      <c r="I7" s="13" t="s">
        <v>8</v>
      </c>
      <c r="J7" s="2" t="s">
        <v>9</v>
      </c>
    </row>
    <row r="8" spans="1:10" s="17" customFormat="1" ht="17.5" x14ac:dyDescent="0.35">
      <c r="A8" s="46" t="s">
        <v>10</v>
      </c>
      <c r="B8" s="25" t="s">
        <v>11</v>
      </c>
      <c r="C8" s="26">
        <v>2500000</v>
      </c>
      <c r="D8" s="26">
        <f t="shared" ref="D8:D23" si="0">C8*H8</f>
        <v>20000000</v>
      </c>
      <c r="E8" s="27">
        <v>0.15</v>
      </c>
      <c r="F8" s="28">
        <f t="shared" ref="F8:F23" si="1">C8-(C8*E8)</f>
        <v>2125000</v>
      </c>
      <c r="G8" s="39">
        <f t="shared" ref="G8:G23" si="2">F8*H8</f>
        <v>17000000</v>
      </c>
      <c r="H8" s="29">
        <f t="shared" ref="H8:H19" si="3">H7</f>
        <v>8</v>
      </c>
      <c r="I8" s="19" t="s">
        <v>12</v>
      </c>
      <c r="J8" s="19" t="s">
        <v>13</v>
      </c>
    </row>
    <row r="9" spans="1:10" s="17" customFormat="1" ht="17.5" x14ac:dyDescent="0.35">
      <c r="A9" s="47" t="s">
        <v>14</v>
      </c>
      <c r="B9" s="30" t="s">
        <v>11</v>
      </c>
      <c r="C9" s="31">
        <v>3500000</v>
      </c>
      <c r="D9" s="26">
        <f t="shared" si="0"/>
        <v>28000000</v>
      </c>
      <c r="E9" s="27">
        <v>0.15</v>
      </c>
      <c r="F9" s="28">
        <f t="shared" si="1"/>
        <v>2975000</v>
      </c>
      <c r="G9" s="39">
        <f t="shared" si="2"/>
        <v>23800000</v>
      </c>
      <c r="H9" s="29">
        <f t="shared" si="3"/>
        <v>8</v>
      </c>
      <c r="I9" s="19" t="s">
        <v>15</v>
      </c>
      <c r="J9" s="19" t="s">
        <v>13</v>
      </c>
    </row>
    <row r="10" spans="1:10" s="17" customFormat="1" ht="17.5" x14ac:dyDescent="0.35">
      <c r="A10" s="47" t="s">
        <v>16</v>
      </c>
      <c r="B10" s="30" t="s">
        <v>11</v>
      </c>
      <c r="C10" s="31">
        <v>4000000</v>
      </c>
      <c r="D10" s="26">
        <f t="shared" si="0"/>
        <v>32000000</v>
      </c>
      <c r="E10" s="27">
        <v>0.15</v>
      </c>
      <c r="F10" s="28">
        <f t="shared" si="1"/>
        <v>3400000</v>
      </c>
      <c r="G10" s="39">
        <f t="shared" si="2"/>
        <v>27200000</v>
      </c>
      <c r="H10" s="29">
        <f t="shared" si="3"/>
        <v>8</v>
      </c>
      <c r="I10" s="19" t="s">
        <v>17</v>
      </c>
      <c r="J10" s="19" t="s">
        <v>13</v>
      </c>
    </row>
    <row r="11" spans="1:10" s="32" customFormat="1" ht="17.5" x14ac:dyDescent="0.35">
      <c r="A11" s="47" t="s">
        <v>19</v>
      </c>
      <c r="B11" s="30" t="s">
        <v>11</v>
      </c>
      <c r="C11" s="31">
        <v>6000000</v>
      </c>
      <c r="D11" s="26">
        <f t="shared" si="0"/>
        <v>48000000</v>
      </c>
      <c r="E11" s="27">
        <v>0.15</v>
      </c>
      <c r="F11" s="28">
        <f t="shared" si="1"/>
        <v>5100000</v>
      </c>
      <c r="G11" s="39">
        <f t="shared" si="2"/>
        <v>40800000</v>
      </c>
      <c r="H11" s="29">
        <f t="shared" si="3"/>
        <v>8</v>
      </c>
      <c r="I11" s="28" t="s">
        <v>17</v>
      </c>
      <c r="J11" s="28" t="s">
        <v>54</v>
      </c>
    </row>
    <row r="12" spans="1:10" s="17" customFormat="1" ht="17.5" x14ac:dyDescent="0.35">
      <c r="A12" s="47" t="s">
        <v>21</v>
      </c>
      <c r="B12" s="30" t="s">
        <v>11</v>
      </c>
      <c r="C12" s="31">
        <v>7500000</v>
      </c>
      <c r="D12" s="26">
        <f t="shared" si="0"/>
        <v>60000000</v>
      </c>
      <c r="E12" s="27">
        <v>0.15</v>
      </c>
      <c r="F12" s="28">
        <f t="shared" si="1"/>
        <v>6375000</v>
      </c>
      <c r="G12" s="39">
        <f t="shared" si="2"/>
        <v>51000000</v>
      </c>
      <c r="H12" s="29">
        <f t="shared" si="3"/>
        <v>8</v>
      </c>
      <c r="I12" s="19" t="s">
        <v>15</v>
      </c>
      <c r="J12" s="19" t="s">
        <v>54</v>
      </c>
    </row>
    <row r="13" spans="1:10" s="17" customFormat="1" ht="17.5" x14ac:dyDescent="0.35">
      <c r="A13" s="47" t="s">
        <v>23</v>
      </c>
      <c r="B13" s="30" t="s">
        <v>11</v>
      </c>
      <c r="C13" s="31">
        <v>8500000</v>
      </c>
      <c r="D13" s="26">
        <f t="shared" si="0"/>
        <v>68000000</v>
      </c>
      <c r="E13" s="27">
        <v>0.15</v>
      </c>
      <c r="F13" s="28">
        <f t="shared" si="1"/>
        <v>7225000</v>
      </c>
      <c r="G13" s="39">
        <f t="shared" si="2"/>
        <v>57800000</v>
      </c>
      <c r="H13" s="29">
        <f t="shared" si="3"/>
        <v>8</v>
      </c>
      <c r="I13" s="19" t="s">
        <v>15</v>
      </c>
      <c r="J13" s="19" t="s">
        <v>18</v>
      </c>
    </row>
    <row r="14" spans="1:10" s="17" customFormat="1" ht="17.5" x14ac:dyDescent="0.35">
      <c r="A14" s="47" t="s">
        <v>25</v>
      </c>
      <c r="B14" s="30" t="s">
        <v>11</v>
      </c>
      <c r="C14" s="31">
        <v>9000000</v>
      </c>
      <c r="D14" s="26">
        <f t="shared" si="0"/>
        <v>72000000</v>
      </c>
      <c r="E14" s="27">
        <v>0.15</v>
      </c>
      <c r="F14" s="28">
        <f t="shared" si="1"/>
        <v>7650000</v>
      </c>
      <c r="G14" s="39">
        <f t="shared" si="2"/>
        <v>61200000</v>
      </c>
      <c r="H14" s="29">
        <f t="shared" si="3"/>
        <v>8</v>
      </c>
      <c r="I14" s="19" t="s">
        <v>17</v>
      </c>
      <c r="J14" s="19" t="s">
        <v>24</v>
      </c>
    </row>
    <row r="15" spans="1:10" s="17" customFormat="1" ht="17.5" x14ac:dyDescent="0.35">
      <c r="A15" s="47" t="s">
        <v>27</v>
      </c>
      <c r="B15" s="30" t="s">
        <v>11</v>
      </c>
      <c r="C15" s="31">
        <v>10000000</v>
      </c>
      <c r="D15" s="26">
        <f t="shared" si="0"/>
        <v>80000000</v>
      </c>
      <c r="E15" s="27">
        <v>0.15</v>
      </c>
      <c r="F15" s="28">
        <f t="shared" si="1"/>
        <v>8500000</v>
      </c>
      <c r="G15" s="39">
        <f t="shared" si="2"/>
        <v>68000000</v>
      </c>
      <c r="H15" s="29">
        <f t="shared" si="3"/>
        <v>8</v>
      </c>
      <c r="I15" s="19" t="s">
        <v>15</v>
      </c>
      <c r="J15" s="19" t="s">
        <v>55</v>
      </c>
    </row>
    <row r="16" spans="1:10" s="17" customFormat="1" ht="17.5" x14ac:dyDescent="0.35">
      <c r="A16" s="47" t="s">
        <v>29</v>
      </c>
      <c r="B16" s="30" t="s">
        <v>30</v>
      </c>
      <c r="C16" s="31">
        <v>11500000</v>
      </c>
      <c r="D16" s="26">
        <f t="shared" si="0"/>
        <v>92000000</v>
      </c>
      <c r="E16" s="27">
        <v>0.2</v>
      </c>
      <c r="F16" s="28">
        <f t="shared" si="1"/>
        <v>9200000</v>
      </c>
      <c r="G16" s="39">
        <f t="shared" si="2"/>
        <v>73600000</v>
      </c>
      <c r="H16" s="29">
        <f t="shared" si="3"/>
        <v>8</v>
      </c>
      <c r="I16" s="19" t="s">
        <v>31</v>
      </c>
      <c r="J16" s="19" t="s">
        <v>55</v>
      </c>
    </row>
    <row r="17" spans="1:10" s="17" customFormat="1" ht="17.5" x14ac:dyDescent="0.35">
      <c r="A17" s="47" t="s">
        <v>45</v>
      </c>
      <c r="B17" s="30" t="s">
        <v>33</v>
      </c>
      <c r="C17" s="31">
        <v>12000000</v>
      </c>
      <c r="D17" s="26">
        <f t="shared" si="0"/>
        <v>96000000</v>
      </c>
      <c r="E17" s="27">
        <v>0.2</v>
      </c>
      <c r="F17" s="28">
        <f t="shared" si="1"/>
        <v>9600000</v>
      </c>
      <c r="G17" s="39">
        <f t="shared" si="2"/>
        <v>76800000</v>
      </c>
      <c r="H17" s="29">
        <f t="shared" si="3"/>
        <v>8</v>
      </c>
      <c r="I17" s="19" t="s">
        <v>34</v>
      </c>
      <c r="J17" s="19" t="s">
        <v>28</v>
      </c>
    </row>
    <row r="18" spans="1:10" s="17" customFormat="1" ht="17.5" x14ac:dyDescent="0.35">
      <c r="A18" s="47" t="s">
        <v>35</v>
      </c>
      <c r="B18" s="30" t="s">
        <v>33</v>
      </c>
      <c r="C18" s="31">
        <v>14000000</v>
      </c>
      <c r="D18" s="26">
        <f t="shared" si="0"/>
        <v>112000000</v>
      </c>
      <c r="E18" s="27">
        <v>0.2</v>
      </c>
      <c r="F18" s="28">
        <f t="shared" si="1"/>
        <v>11200000</v>
      </c>
      <c r="G18" s="39">
        <f t="shared" si="2"/>
        <v>89600000</v>
      </c>
      <c r="H18" s="29">
        <f t="shared" si="3"/>
        <v>8</v>
      </c>
      <c r="I18" s="19" t="s">
        <v>34</v>
      </c>
      <c r="J18" s="19" t="s">
        <v>36</v>
      </c>
    </row>
    <row r="19" spans="1:10" s="17" customFormat="1" ht="17.5" x14ac:dyDescent="0.35">
      <c r="A19" s="47" t="s">
        <v>37</v>
      </c>
      <c r="B19" s="30" t="s">
        <v>33</v>
      </c>
      <c r="C19" s="31">
        <v>14000000</v>
      </c>
      <c r="D19" s="26">
        <f t="shared" si="0"/>
        <v>112000000</v>
      </c>
      <c r="E19" s="27">
        <v>0.15</v>
      </c>
      <c r="F19" s="28">
        <f t="shared" si="1"/>
        <v>11900000</v>
      </c>
      <c r="G19" s="39">
        <f t="shared" si="2"/>
        <v>95200000</v>
      </c>
      <c r="H19" s="29">
        <f t="shared" si="3"/>
        <v>8</v>
      </c>
      <c r="I19" s="19" t="s">
        <v>34</v>
      </c>
      <c r="J19" s="19" t="s">
        <v>38</v>
      </c>
    </row>
    <row r="20" spans="1:10" s="17" customFormat="1" ht="17.5" x14ac:dyDescent="0.35">
      <c r="A20" s="15"/>
      <c r="B20" s="15"/>
      <c r="C20" s="16"/>
      <c r="D20" s="26">
        <f t="shared" si="0"/>
        <v>0</v>
      </c>
      <c r="E20" s="18"/>
      <c r="F20" s="28">
        <f t="shared" si="1"/>
        <v>0</v>
      </c>
      <c r="G20" s="39">
        <f t="shared" si="2"/>
        <v>0</v>
      </c>
      <c r="H20" s="14"/>
      <c r="I20" s="19"/>
      <c r="J20" s="19"/>
    </row>
    <row r="21" spans="1:10" s="17" customFormat="1" ht="17.5" x14ac:dyDescent="0.35">
      <c r="A21" s="49" t="s">
        <v>39</v>
      </c>
      <c r="B21" s="49" t="s">
        <v>11</v>
      </c>
      <c r="C21" s="50">
        <v>8000000</v>
      </c>
      <c r="D21" s="51">
        <f t="shared" si="0"/>
        <v>64000000</v>
      </c>
      <c r="E21" s="52">
        <v>0.1</v>
      </c>
      <c r="F21" s="53">
        <f t="shared" si="1"/>
        <v>7200000</v>
      </c>
      <c r="G21" s="54">
        <f t="shared" si="2"/>
        <v>57600000</v>
      </c>
      <c r="H21" s="2">
        <f>H7</f>
        <v>8</v>
      </c>
      <c r="I21" s="56" t="s">
        <v>15</v>
      </c>
      <c r="J21" s="56" t="s">
        <v>40</v>
      </c>
    </row>
    <row r="22" spans="1:10" s="17" customFormat="1" ht="17.5" x14ac:dyDescent="0.35">
      <c r="A22" s="49" t="s">
        <v>43</v>
      </c>
      <c r="B22" s="49" t="s">
        <v>11</v>
      </c>
      <c r="C22" s="50">
        <v>10000000</v>
      </c>
      <c r="D22" s="51">
        <f t="shared" si="0"/>
        <v>80000000</v>
      </c>
      <c r="E22" s="52">
        <v>0.1</v>
      </c>
      <c r="F22" s="53">
        <f t="shared" si="1"/>
        <v>9000000</v>
      </c>
      <c r="G22" s="54">
        <f t="shared" si="2"/>
        <v>72000000</v>
      </c>
      <c r="H22" s="2">
        <f t="shared" ref="H22:H23" si="4">H8</f>
        <v>8</v>
      </c>
      <c r="I22" s="56" t="s">
        <v>15</v>
      </c>
      <c r="J22" s="56" t="s">
        <v>40</v>
      </c>
    </row>
    <row r="23" spans="1:10" s="17" customFormat="1" ht="17.5" x14ac:dyDescent="0.35">
      <c r="A23" s="49" t="s">
        <v>41</v>
      </c>
      <c r="B23" s="49" t="s">
        <v>42</v>
      </c>
      <c r="C23" s="50">
        <v>15000000</v>
      </c>
      <c r="D23" s="51">
        <f t="shared" si="0"/>
        <v>120000000</v>
      </c>
      <c r="E23" s="52">
        <v>0.1</v>
      </c>
      <c r="F23" s="53">
        <f t="shared" si="1"/>
        <v>13500000</v>
      </c>
      <c r="G23" s="54">
        <f t="shared" si="2"/>
        <v>108000000</v>
      </c>
      <c r="H23" s="2">
        <f t="shared" si="4"/>
        <v>8</v>
      </c>
      <c r="I23" s="56" t="s">
        <v>15</v>
      </c>
      <c r="J23" s="56" t="s">
        <v>40</v>
      </c>
    </row>
  </sheetData>
  <mergeCells count="2">
    <mergeCell ref="A6:H6"/>
    <mergeCell ref="A1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Combo 16-20</vt:lpstr>
      <vt:lpstr>9 -15 răng</vt:lpstr>
      <vt:lpstr>2-8 răng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2024-06-22T06:30:12Z</dcterms:created>
  <dcterms:modified xsi:type="dcterms:W3CDTF">2024-08-05T08:51:25Z</dcterms:modified>
</cp:coreProperties>
</file>