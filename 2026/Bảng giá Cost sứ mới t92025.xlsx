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4dc757803f40e8f/Máy tính/Bảng giá 12062025/"/>
    </mc:Choice>
  </mc:AlternateContent>
  <xr:revisionPtr revIDLastSave="464" documentId="13_ncr:1_{6A2A60D5-9BE4-4DC7-B133-B79DD7899637}" xr6:coauthVersionLast="47" xr6:coauthVersionMax="47" xr10:uidLastSave="{D1440A3B-27B6-484B-938A-88DE7C76BE5F}"/>
  <bookViews>
    <workbookView xWindow="-98" yWindow="-98" windowWidth="21795" windowHeight="12975" xr2:uid="{00000000-000D-0000-FFFF-FFFF00000000}"/>
  </bookViews>
  <sheets>
    <sheet name="Combo 20" sheetId="4" r:id="rId1"/>
    <sheet name="Combo 16" sheetId="1" r:id="rId2"/>
    <sheet name="10 răng" sheetId="3" r:id="rId3"/>
    <sheet name="8 răn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W8" i="1"/>
  <c r="V9" i="1"/>
  <c r="W9" i="1"/>
  <c r="V10" i="1"/>
  <c r="W10" i="1"/>
  <c r="V11" i="1"/>
  <c r="W11" i="1" s="1"/>
  <c r="V12" i="1"/>
  <c r="W12" i="1"/>
  <c r="V13" i="1"/>
  <c r="W13" i="1"/>
  <c r="V14" i="1"/>
  <c r="W14" i="1"/>
  <c r="V15" i="1"/>
  <c r="W15" i="1" s="1"/>
  <c r="V16" i="1"/>
  <c r="W16" i="1"/>
  <c r="V17" i="1"/>
  <c r="W17" i="1" s="1"/>
  <c r="V18" i="1"/>
  <c r="W18" i="1"/>
  <c r="V19" i="1"/>
  <c r="W19" i="1"/>
  <c r="V20" i="1"/>
  <c r="W20" i="1"/>
  <c r="V21" i="1"/>
  <c r="W21" i="1"/>
  <c r="V23" i="1"/>
  <c r="W23" i="1"/>
  <c r="V24" i="1"/>
  <c r="W24" i="1" s="1"/>
  <c r="V25" i="1"/>
  <c r="W25" i="1"/>
  <c r="D8" i="2"/>
  <c r="D20" i="2" l="1"/>
  <c r="D21" i="2"/>
  <c r="D19" i="2"/>
  <c r="Y12" i="1"/>
  <c r="Y15" i="1"/>
  <c r="Y17" i="1"/>
  <c r="Y8" i="1"/>
  <c r="V9" i="4"/>
  <c r="W9" i="4" s="1"/>
  <c r="Y9" i="4" s="1"/>
  <c r="V10" i="4"/>
  <c r="W10" i="4" s="1"/>
  <c r="Y10" i="4" s="1"/>
  <c r="V11" i="4"/>
  <c r="W11" i="4" s="1"/>
  <c r="Y11" i="4" s="1"/>
  <c r="V12" i="4"/>
  <c r="W12" i="4" s="1"/>
  <c r="Y12" i="4" s="1"/>
  <c r="V13" i="4"/>
  <c r="W13" i="4" s="1"/>
  <c r="Y13" i="4" s="1"/>
  <c r="V14" i="4"/>
  <c r="W14" i="4" s="1"/>
  <c r="Y14" i="4" s="1"/>
  <c r="V15" i="4"/>
  <c r="W15" i="4" s="1"/>
  <c r="Y15" i="4" s="1"/>
  <c r="V16" i="4"/>
  <c r="W16" i="4" s="1"/>
  <c r="Y16" i="4" s="1"/>
  <c r="V17" i="4"/>
  <c r="W17" i="4" s="1"/>
  <c r="Y17" i="4" s="1"/>
  <c r="V18" i="4"/>
  <c r="W18" i="4" s="1"/>
  <c r="Y18" i="4" s="1"/>
  <c r="V19" i="4"/>
  <c r="W19" i="4" s="1"/>
  <c r="Y19" i="4" s="1"/>
  <c r="V20" i="4"/>
  <c r="W20" i="4" s="1"/>
  <c r="Y20" i="4" s="1"/>
  <c r="V21" i="4"/>
  <c r="W21" i="4" s="1"/>
  <c r="Y21" i="4" s="1"/>
  <c r="V23" i="4"/>
  <c r="W23" i="4" s="1"/>
  <c r="V24" i="4"/>
  <c r="W24" i="4" s="1"/>
  <c r="V25" i="4"/>
  <c r="W25" i="4" s="1"/>
  <c r="V8" i="4"/>
  <c r="W8" i="4" s="1"/>
  <c r="Y8" i="4" s="1"/>
  <c r="Y9" i="1"/>
  <c r="Y10" i="1"/>
  <c r="Y11" i="1"/>
  <c r="Y13" i="1"/>
  <c r="Y14" i="1"/>
  <c r="Y16" i="1"/>
  <c r="Y18" i="1"/>
  <c r="Y19" i="1"/>
  <c r="Y20" i="1"/>
  <c r="Y21" i="1"/>
  <c r="V23" i="3"/>
  <c r="W23" i="3" s="1"/>
  <c r="V24" i="3"/>
  <c r="W24" i="3" s="1"/>
  <c r="V25" i="3"/>
  <c r="W25" i="3" s="1"/>
  <c r="V9" i="3"/>
  <c r="W9" i="3" s="1"/>
  <c r="Y9" i="3" s="1"/>
  <c r="V10" i="3"/>
  <c r="W10" i="3" s="1"/>
  <c r="Y10" i="3" s="1"/>
  <c r="V11" i="3"/>
  <c r="W11" i="3" s="1"/>
  <c r="Y11" i="3" s="1"/>
  <c r="V12" i="3"/>
  <c r="W12" i="3" s="1"/>
  <c r="Y12" i="3" s="1"/>
  <c r="V13" i="3"/>
  <c r="W13" i="3" s="1"/>
  <c r="Y13" i="3" s="1"/>
  <c r="V14" i="3"/>
  <c r="W14" i="3" s="1"/>
  <c r="Y14" i="3" s="1"/>
  <c r="V15" i="3"/>
  <c r="W15" i="3" s="1"/>
  <c r="Y15" i="3" s="1"/>
  <c r="V16" i="3"/>
  <c r="W16" i="3" s="1"/>
  <c r="Y16" i="3" s="1"/>
  <c r="V17" i="3"/>
  <c r="W17" i="3" s="1"/>
  <c r="Y17" i="3" s="1"/>
  <c r="V18" i="3"/>
  <c r="W18" i="3" s="1"/>
  <c r="Y18" i="3" s="1"/>
  <c r="V19" i="3"/>
  <c r="W19" i="3" s="1"/>
  <c r="Y19" i="3" s="1"/>
  <c r="V20" i="3"/>
  <c r="W20" i="3" s="1"/>
  <c r="Y20" i="3" s="1"/>
  <c r="V21" i="3"/>
  <c r="W21" i="3" s="1"/>
  <c r="Y21" i="3" s="1"/>
  <c r="V8" i="3"/>
  <c r="W8" i="3" s="1"/>
  <c r="Y8" i="3" s="1"/>
  <c r="H22" i="4" l="1"/>
  <c r="D21" i="1"/>
  <c r="G21" i="1" s="1"/>
  <c r="H21" i="1" s="1"/>
  <c r="D25" i="4"/>
  <c r="G25" i="4" s="1"/>
  <c r="H25" i="4" s="1"/>
  <c r="D24" i="4"/>
  <c r="G24" i="4" s="1"/>
  <c r="H24" i="4" s="1"/>
  <c r="J23" i="4"/>
  <c r="D23" i="4"/>
  <c r="G23" i="4" s="1"/>
  <c r="H23" i="4" s="1"/>
  <c r="D21" i="4"/>
  <c r="G21" i="4" s="1"/>
  <c r="H21" i="4" s="1"/>
  <c r="D20" i="4"/>
  <c r="G20" i="4" s="1"/>
  <c r="H20" i="4" s="1"/>
  <c r="D19" i="4"/>
  <c r="G19" i="4" s="1"/>
  <c r="H19" i="4" s="1"/>
  <c r="D18" i="4"/>
  <c r="G18" i="4" s="1"/>
  <c r="H18" i="4" s="1"/>
  <c r="D17" i="4"/>
  <c r="G17" i="4" s="1"/>
  <c r="H17" i="4" s="1"/>
  <c r="D16" i="4"/>
  <c r="G16" i="4" s="1"/>
  <c r="H16" i="4" s="1"/>
  <c r="C15" i="4"/>
  <c r="D15" i="4" s="1"/>
  <c r="D14" i="4"/>
  <c r="G14" i="4" s="1"/>
  <c r="H14" i="4" s="1"/>
  <c r="D13" i="4"/>
  <c r="G13" i="4" s="1"/>
  <c r="H13" i="4" s="1"/>
  <c r="D12" i="4"/>
  <c r="G12" i="4" s="1"/>
  <c r="H12" i="4" s="1"/>
  <c r="D11" i="4"/>
  <c r="G11" i="4" s="1"/>
  <c r="H11" i="4" s="1"/>
  <c r="D10" i="4"/>
  <c r="G10" i="4" s="1"/>
  <c r="H10" i="4" s="1"/>
  <c r="D9" i="4"/>
  <c r="G9" i="4" s="1"/>
  <c r="H9" i="4" s="1"/>
  <c r="J8" i="4"/>
  <c r="J9" i="4" s="1"/>
  <c r="J10" i="4" s="1"/>
  <c r="D8" i="4"/>
  <c r="G8" i="4" s="1"/>
  <c r="H8" i="4" s="1"/>
  <c r="E26" i="1"/>
  <c r="G8" i="2"/>
  <c r="H8" i="2" s="1"/>
  <c r="D8" i="3"/>
  <c r="G8" i="3" s="1"/>
  <c r="H8" i="3" s="1"/>
  <c r="D9" i="1"/>
  <c r="G9" i="1" s="1"/>
  <c r="H9" i="1" s="1"/>
  <c r="D10" i="1"/>
  <c r="G10" i="1" s="1"/>
  <c r="H10" i="1" s="1"/>
  <c r="D11" i="1"/>
  <c r="G11" i="1" s="1"/>
  <c r="H11" i="1" s="1"/>
  <c r="I11" i="1" s="1"/>
  <c r="L11" i="1" s="1"/>
  <c r="N11" i="1" s="1"/>
  <c r="D12" i="1"/>
  <c r="G12" i="1" s="1"/>
  <c r="H12" i="1" s="1"/>
  <c r="D13" i="1"/>
  <c r="D14" i="1"/>
  <c r="G14" i="1" s="1"/>
  <c r="H14" i="1" s="1"/>
  <c r="D16" i="1"/>
  <c r="G16" i="1" s="1"/>
  <c r="H16" i="1" s="1"/>
  <c r="D17" i="1"/>
  <c r="G17" i="1" s="1"/>
  <c r="H17" i="1" s="1"/>
  <c r="D18" i="1"/>
  <c r="G18" i="1" s="1"/>
  <c r="H18" i="1" s="1"/>
  <c r="D19" i="1"/>
  <c r="G19" i="1" s="1"/>
  <c r="H19" i="1" s="1"/>
  <c r="D20" i="1"/>
  <c r="G20" i="1" s="1"/>
  <c r="H20" i="1" s="1"/>
  <c r="D22" i="1"/>
  <c r="G22" i="1" s="1"/>
  <c r="H22" i="1" s="1"/>
  <c r="I22" i="1" s="1"/>
  <c r="D23" i="1"/>
  <c r="D24" i="1"/>
  <c r="D25" i="1"/>
  <c r="D8" i="1"/>
  <c r="G22" i="3"/>
  <c r="H22" i="3" s="1"/>
  <c r="I22" i="3" s="1"/>
  <c r="E22" i="3"/>
  <c r="D9" i="3"/>
  <c r="D10" i="3"/>
  <c r="D11" i="3"/>
  <c r="G11" i="3" s="1"/>
  <c r="H11" i="3" s="1"/>
  <c r="I11" i="3" s="1"/>
  <c r="L11" i="3" s="1"/>
  <c r="N11" i="3" s="1"/>
  <c r="P11" i="3" s="1"/>
  <c r="D12" i="3"/>
  <c r="G12" i="3" s="1"/>
  <c r="H12" i="3" s="1"/>
  <c r="D13" i="3"/>
  <c r="G13" i="3" s="1"/>
  <c r="H13" i="3" s="1"/>
  <c r="D14" i="3"/>
  <c r="G14" i="3" s="1"/>
  <c r="H14" i="3" s="1"/>
  <c r="D16" i="3"/>
  <c r="G16" i="3" s="1"/>
  <c r="H16" i="3" s="1"/>
  <c r="D17" i="3"/>
  <c r="G17" i="3" s="1"/>
  <c r="H17" i="3" s="1"/>
  <c r="D18" i="3"/>
  <c r="G18" i="3" s="1"/>
  <c r="H18" i="3" s="1"/>
  <c r="D19" i="3"/>
  <c r="G19" i="3" s="1"/>
  <c r="H19" i="3" s="1"/>
  <c r="D20" i="3"/>
  <c r="G20" i="3" s="1"/>
  <c r="H20" i="3" s="1"/>
  <c r="D21" i="3"/>
  <c r="G21" i="3" s="1"/>
  <c r="H21" i="3" s="1"/>
  <c r="D23" i="3"/>
  <c r="G23" i="3" s="1"/>
  <c r="H23" i="3" s="1"/>
  <c r="D24" i="3"/>
  <c r="G24" i="3" s="1"/>
  <c r="H24" i="3" s="1"/>
  <c r="D25" i="3"/>
  <c r="G25" i="3" s="1"/>
  <c r="H25" i="3" s="1"/>
  <c r="D23" i="2"/>
  <c r="G23" i="2" s="1"/>
  <c r="H23" i="2" s="1"/>
  <c r="D24" i="2"/>
  <c r="G24" i="2" s="1"/>
  <c r="H24" i="2" s="1"/>
  <c r="D25" i="2"/>
  <c r="G25" i="2" s="1"/>
  <c r="H25" i="2" s="1"/>
  <c r="D9" i="2"/>
  <c r="G9" i="2" s="1"/>
  <c r="H9" i="2" s="1"/>
  <c r="D10" i="2"/>
  <c r="G10" i="2" s="1"/>
  <c r="H10" i="2" s="1"/>
  <c r="D11" i="2"/>
  <c r="E11" i="2" s="1"/>
  <c r="D12" i="2"/>
  <c r="G12" i="2" s="1"/>
  <c r="H12" i="2" s="1"/>
  <c r="D13" i="2"/>
  <c r="G13" i="2" s="1"/>
  <c r="H13" i="2" s="1"/>
  <c r="D14" i="2"/>
  <c r="G14" i="2" s="1"/>
  <c r="H14" i="2" s="1"/>
  <c r="D16" i="2"/>
  <c r="G16" i="2" s="1"/>
  <c r="H16" i="2" s="1"/>
  <c r="D17" i="2"/>
  <c r="G17" i="2" s="1"/>
  <c r="H17" i="2" s="1"/>
  <c r="D18" i="2"/>
  <c r="G18" i="2" s="1"/>
  <c r="H18" i="2" s="1"/>
  <c r="G19" i="2"/>
  <c r="H19" i="2" s="1"/>
  <c r="G20" i="2"/>
  <c r="H20" i="2" s="1"/>
  <c r="G21" i="2"/>
  <c r="H21" i="2" s="1"/>
  <c r="C15" i="2"/>
  <c r="D15" i="2" s="1"/>
  <c r="C15" i="3"/>
  <c r="D15" i="3" s="1"/>
  <c r="C15" i="1"/>
  <c r="D15" i="1" s="1"/>
  <c r="Z11" i="1" l="1"/>
  <c r="P11" i="1"/>
  <c r="Q11" i="1" s="1"/>
  <c r="S11" i="1"/>
  <c r="Z11" i="3"/>
  <c r="Q11" i="3"/>
  <c r="S11" i="3"/>
  <c r="I23" i="4"/>
  <c r="I9" i="4"/>
  <c r="I8" i="4"/>
  <c r="I10" i="4"/>
  <c r="G11" i="2"/>
  <c r="H11" i="2" s="1"/>
  <c r="I11" i="2" s="1"/>
  <c r="L11" i="2" s="1"/>
  <c r="J11" i="4"/>
  <c r="G15" i="2"/>
  <c r="H15" i="2" s="1"/>
  <c r="I15" i="2" s="1"/>
  <c r="L15" i="2" s="1"/>
  <c r="N15" i="2" s="1"/>
  <c r="E15" i="2"/>
  <c r="G15" i="3"/>
  <c r="H15" i="3" s="1"/>
  <c r="I15" i="3" s="1"/>
  <c r="L15" i="3" s="1"/>
  <c r="N15" i="3" s="1"/>
  <c r="P15" i="3" s="1"/>
  <c r="E15" i="3"/>
  <c r="G10" i="3"/>
  <c r="H10" i="3" s="1"/>
  <c r="G9" i="3"/>
  <c r="H9" i="3" s="1"/>
  <c r="E11" i="3"/>
  <c r="G15" i="1"/>
  <c r="H15" i="1" s="1"/>
  <c r="I15" i="1" s="1"/>
  <c r="L15" i="1" s="1"/>
  <c r="N15" i="1" s="1"/>
  <c r="E15" i="1"/>
  <c r="G23" i="1"/>
  <c r="H23" i="1" s="1"/>
  <c r="G13" i="1"/>
  <c r="H13" i="1" s="1"/>
  <c r="E11" i="1"/>
  <c r="G8" i="1"/>
  <c r="H8" i="1" s="1"/>
  <c r="G25" i="1"/>
  <c r="H25" i="1" s="1"/>
  <c r="G24" i="1"/>
  <c r="H24" i="1" s="1"/>
  <c r="G15" i="4"/>
  <c r="H15" i="4" s="1"/>
  <c r="J25" i="4"/>
  <c r="E25" i="4" s="1"/>
  <c r="E23" i="4"/>
  <c r="E8" i="4"/>
  <c r="E9" i="4"/>
  <c r="J24" i="4"/>
  <c r="E24" i="4" s="1"/>
  <c r="J23" i="2"/>
  <c r="I23" i="2" s="1"/>
  <c r="L23" i="2" s="1"/>
  <c r="N23" i="2" s="1"/>
  <c r="J23" i="3"/>
  <c r="E23" i="3" s="1"/>
  <c r="J23" i="1"/>
  <c r="E23" i="1" s="1"/>
  <c r="P23" i="2" l="1"/>
  <c r="Q23" i="2" s="1"/>
  <c r="P15" i="2"/>
  <c r="Q15" i="2" s="1"/>
  <c r="S10" i="4"/>
  <c r="L10" i="4"/>
  <c r="N10" i="4" s="1"/>
  <c r="P10" i="4" s="1"/>
  <c r="Q10" i="4" s="1"/>
  <c r="S8" i="4"/>
  <c r="L8" i="4"/>
  <c r="N8" i="4" s="1"/>
  <c r="P8" i="4" s="1"/>
  <c r="Q8" i="4" s="1"/>
  <c r="S9" i="4"/>
  <c r="L9" i="4"/>
  <c r="N9" i="4" s="1"/>
  <c r="P9" i="4" s="1"/>
  <c r="Q9" i="4" s="1"/>
  <c r="S23" i="4"/>
  <c r="L23" i="4"/>
  <c r="N23" i="4" s="1"/>
  <c r="P23" i="4" s="1"/>
  <c r="Q23" i="4" s="1"/>
  <c r="Z15" i="1"/>
  <c r="S15" i="1"/>
  <c r="P15" i="1"/>
  <c r="Q15" i="1" s="1"/>
  <c r="Z15" i="3"/>
  <c r="Q15" i="3"/>
  <c r="N11" i="2"/>
  <c r="P11" i="2" s="1"/>
  <c r="Q11" i="2" s="1"/>
  <c r="S15" i="3"/>
  <c r="I24" i="4"/>
  <c r="E11" i="4"/>
  <c r="I11" i="4"/>
  <c r="I25" i="4"/>
  <c r="I23" i="1"/>
  <c r="I23" i="3"/>
  <c r="L23" i="3" s="1"/>
  <c r="N23" i="3" s="1"/>
  <c r="E23" i="2"/>
  <c r="J12" i="4"/>
  <c r="I12" i="4" s="1"/>
  <c r="E10" i="4"/>
  <c r="P23" i="3" l="1"/>
  <c r="Q23" i="3" s="1"/>
  <c r="S12" i="4"/>
  <c r="L12" i="4"/>
  <c r="N12" i="4" s="1"/>
  <c r="P12" i="4" s="1"/>
  <c r="Q12" i="4" s="1"/>
  <c r="S11" i="4"/>
  <c r="L11" i="4"/>
  <c r="N11" i="4" s="1"/>
  <c r="P11" i="4" s="1"/>
  <c r="Q11" i="4" s="1"/>
  <c r="S24" i="4"/>
  <c r="L24" i="4"/>
  <c r="N24" i="4" s="1"/>
  <c r="P24" i="4" s="1"/>
  <c r="Q24" i="4" s="1"/>
  <c r="S25" i="4"/>
  <c r="L25" i="4"/>
  <c r="N25" i="4" s="1"/>
  <c r="P25" i="4" s="1"/>
  <c r="Q25" i="4" s="1"/>
  <c r="S23" i="1"/>
  <c r="L23" i="1"/>
  <c r="N23" i="1" s="1"/>
  <c r="P23" i="1" s="1"/>
  <c r="Q23" i="1" s="1"/>
  <c r="S23" i="3"/>
  <c r="Z23" i="3"/>
  <c r="Z23" i="1"/>
  <c r="J13" i="4"/>
  <c r="I13" i="4" s="1"/>
  <c r="E12" i="4"/>
  <c r="J8" i="3"/>
  <c r="J8" i="2"/>
  <c r="S13" i="4" l="1"/>
  <c r="L13" i="4"/>
  <c r="N13" i="4" s="1"/>
  <c r="P13" i="4" s="1"/>
  <c r="Q13" i="4" s="1"/>
  <c r="Z13" i="4"/>
  <c r="E8" i="3"/>
  <c r="I8" i="3"/>
  <c r="E8" i="2"/>
  <c r="I8" i="2"/>
  <c r="L8" i="2" s="1"/>
  <c r="N8" i="2" s="1"/>
  <c r="P8" i="2" s="1"/>
  <c r="J14" i="4"/>
  <c r="I14" i="4" s="1"/>
  <c r="E13" i="4"/>
  <c r="J24" i="2"/>
  <c r="J9" i="3"/>
  <c r="I9" i="3" s="1"/>
  <c r="L9" i="3" s="1"/>
  <c r="N9" i="3" s="1"/>
  <c r="P9" i="3" s="1"/>
  <c r="J24" i="3"/>
  <c r="J9" i="2"/>
  <c r="I9" i="2" s="1"/>
  <c r="L9" i="2" s="1"/>
  <c r="J8" i="1"/>
  <c r="S14" i="4" l="1"/>
  <c r="L14" i="4"/>
  <c r="N14" i="4" s="1"/>
  <c r="P14" i="4" s="1"/>
  <c r="Q14" i="4" s="1"/>
  <c r="Z8" i="3"/>
  <c r="L8" i="3"/>
  <c r="N8" i="3" s="1"/>
  <c r="P8" i="3" s="1"/>
  <c r="Q8" i="3" s="1"/>
  <c r="Z9" i="3"/>
  <c r="Q9" i="3"/>
  <c r="N9" i="2"/>
  <c r="P9" i="2" s="1"/>
  <c r="Q9" i="2" s="1"/>
  <c r="Q8" i="2"/>
  <c r="S9" i="3"/>
  <c r="S8" i="3"/>
  <c r="Z14" i="4"/>
  <c r="E8" i="1"/>
  <c r="I8" i="1"/>
  <c r="E24" i="3"/>
  <c r="I24" i="3"/>
  <c r="L24" i="3" s="1"/>
  <c r="N24" i="3" s="1"/>
  <c r="E24" i="2"/>
  <c r="I24" i="2"/>
  <c r="L24" i="2" s="1"/>
  <c r="N24" i="2" s="1"/>
  <c r="E9" i="2"/>
  <c r="J15" i="4"/>
  <c r="I15" i="4" s="1"/>
  <c r="E14" i="4"/>
  <c r="J25" i="3"/>
  <c r="E9" i="3"/>
  <c r="J25" i="2"/>
  <c r="J9" i="1"/>
  <c r="I9" i="1" s="1"/>
  <c r="L9" i="1" s="1"/>
  <c r="N9" i="1" s="1"/>
  <c r="J24" i="1"/>
  <c r="J10" i="2"/>
  <c r="I10" i="2" s="1"/>
  <c r="L10" i="2" s="1"/>
  <c r="J10" i="3"/>
  <c r="I10" i="3" s="1"/>
  <c r="L10" i="3" s="1"/>
  <c r="N10" i="3" s="1"/>
  <c r="P10" i="3" s="1"/>
  <c r="J10" i="1"/>
  <c r="I10" i="1" s="1"/>
  <c r="L10" i="1" s="1"/>
  <c r="N10" i="1" s="1"/>
  <c r="P24" i="2" l="1"/>
  <c r="Q24" i="2" s="1"/>
  <c r="P24" i="3"/>
  <c r="Q24" i="3" s="1"/>
  <c r="S15" i="4"/>
  <c r="L15" i="4"/>
  <c r="N15" i="4" s="1"/>
  <c r="P15" i="4" s="1"/>
  <c r="Q15" i="4" s="1"/>
  <c r="Z8" i="1"/>
  <c r="S8" i="1"/>
  <c r="L8" i="1"/>
  <c r="N8" i="1" s="1"/>
  <c r="P8" i="1" s="1"/>
  <c r="Q8" i="1" s="1"/>
  <c r="Z10" i="1"/>
  <c r="S10" i="1"/>
  <c r="P10" i="1"/>
  <c r="Q10" i="1" s="1"/>
  <c r="Z9" i="1"/>
  <c r="S9" i="1"/>
  <c r="P9" i="1"/>
  <c r="Q9" i="1" s="1"/>
  <c r="Z10" i="3"/>
  <c r="Q10" i="3"/>
  <c r="N10" i="2"/>
  <c r="P10" i="2" s="1"/>
  <c r="Q10" i="2" s="1"/>
  <c r="S24" i="3"/>
  <c r="Z24" i="3"/>
  <c r="S10" i="3"/>
  <c r="Z15" i="4"/>
  <c r="J12" i="1"/>
  <c r="I12" i="1" s="1"/>
  <c r="L12" i="1" s="1"/>
  <c r="N12" i="1" s="1"/>
  <c r="E24" i="1"/>
  <c r="I24" i="1"/>
  <c r="E25" i="3"/>
  <c r="I25" i="3"/>
  <c r="L25" i="3" s="1"/>
  <c r="N25" i="3" s="1"/>
  <c r="E25" i="2"/>
  <c r="I25" i="2"/>
  <c r="L25" i="2" s="1"/>
  <c r="N25" i="2" s="1"/>
  <c r="E10" i="2"/>
  <c r="J16" i="4"/>
  <c r="I16" i="4" s="1"/>
  <c r="E15" i="4"/>
  <c r="E10" i="3"/>
  <c r="E10" i="1"/>
  <c r="J25" i="1"/>
  <c r="E9" i="1"/>
  <c r="J12" i="2"/>
  <c r="I12" i="2" s="1"/>
  <c r="L12" i="2" s="1"/>
  <c r="N12" i="2" s="1"/>
  <c r="P12" i="2" s="1"/>
  <c r="Q12" i="2" s="1"/>
  <c r="J12" i="3"/>
  <c r="I12" i="3" s="1"/>
  <c r="L12" i="3" s="1"/>
  <c r="N12" i="3" s="1"/>
  <c r="P12" i="3" s="1"/>
  <c r="J13" i="1"/>
  <c r="I13" i="1" s="1"/>
  <c r="L13" i="1" s="1"/>
  <c r="N13" i="1" s="1"/>
  <c r="P25" i="2" l="1"/>
  <c r="Q25" i="2" s="1"/>
  <c r="P25" i="3"/>
  <c r="Q25" i="3" s="1"/>
  <c r="S16" i="4"/>
  <c r="L16" i="4"/>
  <c r="N16" i="4" s="1"/>
  <c r="P16" i="4" s="1"/>
  <c r="Q16" i="4" s="1"/>
  <c r="Z12" i="1"/>
  <c r="S12" i="1"/>
  <c r="P12" i="1"/>
  <c r="Q12" i="1" s="1"/>
  <c r="Z13" i="1"/>
  <c r="P13" i="1"/>
  <c r="Q13" i="1" s="1"/>
  <c r="S13" i="1"/>
  <c r="S24" i="1"/>
  <c r="L24" i="1"/>
  <c r="N24" i="1" s="1"/>
  <c r="P24" i="1" s="1"/>
  <c r="Q24" i="1" s="1"/>
  <c r="Z12" i="3"/>
  <c r="Q12" i="3"/>
  <c r="S25" i="3"/>
  <c r="Z25" i="3"/>
  <c r="S12" i="3"/>
  <c r="Z24" i="1"/>
  <c r="J14" i="1"/>
  <c r="I14" i="1" s="1"/>
  <c r="L14" i="1" s="1"/>
  <c r="N14" i="1" s="1"/>
  <c r="Z16" i="4"/>
  <c r="E12" i="1"/>
  <c r="E25" i="1"/>
  <c r="I25" i="1"/>
  <c r="J13" i="3"/>
  <c r="I13" i="3" s="1"/>
  <c r="L13" i="3" s="1"/>
  <c r="N13" i="3" s="1"/>
  <c r="P13" i="3" s="1"/>
  <c r="E13" i="1"/>
  <c r="E16" i="4"/>
  <c r="J17" i="4"/>
  <c r="I17" i="4" s="1"/>
  <c r="J13" i="2"/>
  <c r="I13" i="2" s="1"/>
  <c r="L13" i="2" s="1"/>
  <c r="N13" i="2" s="1"/>
  <c r="E12" i="2"/>
  <c r="E12" i="3"/>
  <c r="J16" i="1"/>
  <c r="I16" i="1" s="1"/>
  <c r="L16" i="1" s="1"/>
  <c r="N16" i="1" s="1"/>
  <c r="P13" i="2" l="1"/>
  <c r="Q13" i="2" s="1"/>
  <c r="S17" i="4"/>
  <c r="L17" i="4"/>
  <c r="N17" i="4" s="1"/>
  <c r="P17" i="4" s="1"/>
  <c r="Q17" i="4" s="1"/>
  <c r="Z14" i="1"/>
  <c r="S14" i="1"/>
  <c r="P14" i="1"/>
  <c r="Q14" i="1" s="1"/>
  <c r="Z16" i="1"/>
  <c r="S16" i="1"/>
  <c r="P16" i="1"/>
  <c r="Q16" i="1" s="1"/>
  <c r="L25" i="1"/>
  <c r="N25" i="1" s="1"/>
  <c r="P25" i="1" s="1"/>
  <c r="Q25" i="1" s="1"/>
  <c r="S25" i="1"/>
  <c r="Z13" i="3"/>
  <c r="Q13" i="3"/>
  <c r="E14" i="1"/>
  <c r="S13" i="3"/>
  <c r="J17" i="1"/>
  <c r="I17" i="1" s="1"/>
  <c r="L17" i="1" s="1"/>
  <c r="N17" i="1" s="1"/>
  <c r="Z25" i="1"/>
  <c r="J14" i="3"/>
  <c r="I14" i="3" s="1"/>
  <c r="L14" i="3" s="1"/>
  <c r="N14" i="3" s="1"/>
  <c r="P14" i="3" s="1"/>
  <c r="Z17" i="4"/>
  <c r="E13" i="3"/>
  <c r="E13" i="2"/>
  <c r="E16" i="1"/>
  <c r="J18" i="4"/>
  <c r="I18" i="4" s="1"/>
  <c r="E17" i="4"/>
  <c r="J14" i="2"/>
  <c r="J18" i="1"/>
  <c r="I18" i="1" s="1"/>
  <c r="L18" i="1" s="1"/>
  <c r="N18" i="1" s="1"/>
  <c r="E14" i="3" l="1"/>
  <c r="S18" i="4"/>
  <c r="L18" i="4"/>
  <c r="N18" i="4" s="1"/>
  <c r="P18" i="4" s="1"/>
  <c r="Q18" i="4" s="1"/>
  <c r="Z17" i="1"/>
  <c r="S17" i="1"/>
  <c r="P17" i="1"/>
  <c r="Q17" i="1" s="1"/>
  <c r="Z18" i="1"/>
  <c r="S18" i="1"/>
  <c r="P18" i="1"/>
  <c r="Q18" i="1" s="1"/>
  <c r="E17" i="1"/>
  <c r="Z14" i="3"/>
  <c r="Q14" i="3"/>
  <c r="J19" i="1"/>
  <c r="I19" i="1" s="1"/>
  <c r="L19" i="1" s="1"/>
  <c r="N19" i="1" s="1"/>
  <c r="S14" i="3"/>
  <c r="J16" i="3"/>
  <c r="I16" i="3" s="1"/>
  <c r="L16" i="3" s="1"/>
  <c r="N16" i="3" s="1"/>
  <c r="P16" i="3" s="1"/>
  <c r="Z18" i="4"/>
  <c r="J16" i="2"/>
  <c r="I16" i="2" s="1"/>
  <c r="L16" i="2" s="1"/>
  <c r="N16" i="2" s="1"/>
  <c r="I14" i="2"/>
  <c r="L14" i="2" s="1"/>
  <c r="N14" i="2" s="1"/>
  <c r="E14" i="2"/>
  <c r="E18" i="1"/>
  <c r="J19" i="4"/>
  <c r="I19" i="4" s="1"/>
  <c r="E18" i="4"/>
  <c r="J20" i="1"/>
  <c r="I20" i="1" s="1"/>
  <c r="L20" i="1" s="1"/>
  <c r="N20" i="1" s="1"/>
  <c r="P14" i="2" l="1"/>
  <c r="Q14" i="2" s="1"/>
  <c r="P16" i="2"/>
  <c r="Q16" i="2" s="1"/>
  <c r="S19" i="4"/>
  <c r="L19" i="4"/>
  <c r="N19" i="4" s="1"/>
  <c r="P19" i="4" s="1"/>
  <c r="Q19" i="4" s="1"/>
  <c r="E19" i="1"/>
  <c r="Z19" i="1"/>
  <c r="P19" i="1"/>
  <c r="Q19" i="1" s="1"/>
  <c r="S19" i="1"/>
  <c r="J21" i="1"/>
  <c r="I21" i="1" s="1"/>
  <c r="L21" i="1" s="1"/>
  <c r="N21" i="1" s="1"/>
  <c r="Z20" i="1"/>
  <c r="P20" i="1"/>
  <c r="Q20" i="1" s="1"/>
  <c r="S20" i="1"/>
  <c r="Z16" i="3"/>
  <c r="Q16" i="3"/>
  <c r="S16" i="3"/>
  <c r="J17" i="3"/>
  <c r="I17" i="3" s="1"/>
  <c r="L17" i="3" s="1"/>
  <c r="N17" i="3" s="1"/>
  <c r="P17" i="3" s="1"/>
  <c r="E16" i="3"/>
  <c r="Z19" i="4"/>
  <c r="J17" i="2"/>
  <c r="I17" i="2" s="1"/>
  <c r="L17" i="2" s="1"/>
  <c r="N17" i="2" s="1"/>
  <c r="E16" i="2"/>
  <c r="E20" i="1"/>
  <c r="J20" i="4"/>
  <c r="I20" i="4" s="1"/>
  <c r="E19" i="4"/>
  <c r="E21" i="1" l="1"/>
  <c r="P17" i="2"/>
  <c r="Q17" i="2" s="1"/>
  <c r="S20" i="4"/>
  <c r="L20" i="4"/>
  <c r="N20" i="4" s="1"/>
  <c r="P20" i="4" s="1"/>
  <c r="Q20" i="4" s="1"/>
  <c r="Z21" i="1"/>
  <c r="P21" i="1"/>
  <c r="Q21" i="1" s="1"/>
  <c r="S21" i="1"/>
  <c r="Z17" i="3"/>
  <c r="Q17" i="3"/>
  <c r="E17" i="3"/>
  <c r="S17" i="3"/>
  <c r="J18" i="3"/>
  <c r="I18" i="3" s="1"/>
  <c r="L18" i="3" s="1"/>
  <c r="N18" i="3" s="1"/>
  <c r="P18" i="3" s="1"/>
  <c r="Z20" i="4"/>
  <c r="J18" i="2"/>
  <c r="I18" i="2" s="1"/>
  <c r="L18" i="2" s="1"/>
  <c r="N18" i="2" s="1"/>
  <c r="E17" i="2"/>
  <c r="J21" i="4"/>
  <c r="I21" i="4" s="1"/>
  <c r="E20" i="4"/>
  <c r="P18" i="2" l="1"/>
  <c r="Q18" i="2" s="1"/>
  <c r="S21" i="4"/>
  <c r="L21" i="4"/>
  <c r="N21" i="4" s="1"/>
  <c r="P21" i="4" s="1"/>
  <c r="Q21" i="4" s="1"/>
  <c r="E18" i="3"/>
  <c r="Z18" i="3"/>
  <c r="Q18" i="3"/>
  <c r="S18" i="3"/>
  <c r="J19" i="3"/>
  <c r="I19" i="3" s="1"/>
  <c r="L19" i="3" s="1"/>
  <c r="N19" i="3" s="1"/>
  <c r="P19" i="3" s="1"/>
  <c r="Z21" i="4"/>
  <c r="J19" i="2"/>
  <c r="I19" i="2" s="1"/>
  <c r="L19" i="2" s="1"/>
  <c r="N19" i="2" s="1"/>
  <c r="E18" i="2"/>
  <c r="E19" i="2"/>
  <c r="E21" i="4"/>
  <c r="P19" i="2" l="1"/>
  <c r="Q19" i="2" s="1"/>
  <c r="Z19" i="3"/>
  <c r="Q19" i="3"/>
  <c r="J20" i="2"/>
  <c r="I20" i="2" s="1"/>
  <c r="L20" i="2" s="1"/>
  <c r="N20" i="2" s="1"/>
  <c r="S19" i="3"/>
  <c r="E19" i="3"/>
  <c r="J20" i="3"/>
  <c r="I20" i="3" s="1"/>
  <c r="L20" i="3" s="1"/>
  <c r="N20" i="3" s="1"/>
  <c r="P20" i="3" s="1"/>
  <c r="P20" i="2" l="1"/>
  <c r="Q20" i="2" s="1"/>
  <c r="Z20" i="3"/>
  <c r="Q20" i="3"/>
  <c r="J21" i="2"/>
  <c r="I21" i="2" s="1"/>
  <c r="L21" i="2" s="1"/>
  <c r="N21" i="2" s="1"/>
  <c r="E20" i="2"/>
  <c r="S20" i="3"/>
  <c r="J21" i="3"/>
  <c r="I21" i="3" s="1"/>
  <c r="L21" i="3" s="1"/>
  <c r="N21" i="3" s="1"/>
  <c r="P21" i="3" s="1"/>
  <c r="E20" i="3"/>
  <c r="P21" i="2" l="1"/>
  <c r="Q21" i="2" s="1"/>
  <c r="Z21" i="3"/>
  <c r="Q21" i="3"/>
  <c r="E21" i="2"/>
  <c r="S21" i="3"/>
  <c r="E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Hiền Nguyễn Thanh</author>
  </authors>
  <commentList>
    <comment ref="K7" authorId="0" shapeId="0" xr:uid="{5F723344-499B-4852-98F2-0E6DAC11EE8A}">
      <text>
        <r>
          <rPr>
            <b/>
            <sz val="9"/>
            <color indexed="81"/>
            <rFont val="Tahoma"/>
            <charset val="1"/>
          </rPr>
          <t>Hiền Nguyễn Thanh:</t>
        </r>
        <r>
          <rPr>
            <sz val="9"/>
            <color indexed="81"/>
            <rFont val="Tahoma"/>
            <charset val="1"/>
          </rPr>
          <t xml:space="preserve">
Bao gồm : Điện nước, thưởng cho tất cả bộ phận ,tiền giới thiệu, Vật liệu, Labo,MKT quảng cáo 3tr
Chi tiết trên file báo cáo giám đốc của LUCAS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Hiền Nguyễn Thanh</author>
  </authors>
  <commentList>
    <comment ref="K7" authorId="0" shapeId="0" xr:uid="{67666AD6-4BFA-41E9-B018-72053DAC4DC2}">
      <text>
        <r>
          <rPr>
            <b/>
            <sz val="9"/>
            <color indexed="81"/>
            <rFont val="Tahoma"/>
            <charset val="1"/>
          </rPr>
          <t>Hiền Nguyễn Thanh:</t>
        </r>
        <r>
          <rPr>
            <sz val="9"/>
            <color indexed="81"/>
            <rFont val="Tahoma"/>
            <charset val="1"/>
          </rPr>
          <t xml:space="preserve">
Bao gồm : Điện nước, thưởng cho tất cả bộ phận ,tiền giới thiệu, Vật liệu, Labo,MKT quảng cáo 3tr
Chi tiết trên file báo cáo giám đốc của LUCAS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Hiền Nguyễn Thanh</author>
  </authors>
  <commentList>
    <comment ref="K7" authorId="0" shapeId="0" xr:uid="{93BDABC2-C257-4D46-B023-5B8597C76638}">
      <text>
        <r>
          <rPr>
            <b/>
            <sz val="9"/>
            <color indexed="81"/>
            <rFont val="Tahoma"/>
            <charset val="1"/>
          </rPr>
          <t>Hiền Nguyễn Thanh:</t>
        </r>
        <r>
          <rPr>
            <sz val="9"/>
            <color indexed="81"/>
            <rFont val="Tahoma"/>
            <charset val="1"/>
          </rPr>
          <t xml:space="preserve">
Bao gồm : Điện nước, thưởng cho tất cả bộ phận ,tiền giới thiệu, Vật liệu, Labo,MKT quảng cáo 3tr
Chi tiết trên file báo cáo giám đốc của LUCAS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Hiền Nguyễn Thanh</author>
  </authors>
  <commentList>
    <comment ref="K7" authorId="0" shapeId="0" xr:uid="{CE4208FD-9D24-48BF-A095-366D6FEC6CD1}">
      <text>
        <r>
          <rPr>
            <b/>
            <sz val="9"/>
            <color indexed="81"/>
            <rFont val="Tahoma"/>
            <charset val="1"/>
          </rPr>
          <t>Hiền Nguyễn Thanh:</t>
        </r>
        <r>
          <rPr>
            <sz val="9"/>
            <color indexed="81"/>
            <rFont val="Tahoma"/>
            <charset val="1"/>
          </rPr>
          <t xml:space="preserve">
Bao gồm : Điện nước, thưởng cho tất cả bộ phận ,tiền giới thiệu, Vật liệu, Labo,MKT quảng cáo 3tr
Chi tiết trên file báo cáo giám đốc của LUCAS
</t>
        </r>
      </text>
    </comment>
  </commentList>
</comments>
</file>

<file path=xl/sharedStrings.xml><?xml version="1.0" encoding="utf-8"?>
<sst xmlns="http://schemas.openxmlformats.org/spreadsheetml/2006/main" count="382" uniqueCount="76">
  <si>
    <t>Bảng giá Combo 16</t>
  </si>
  <si>
    <t>Dòng sứ</t>
  </si>
  <si>
    <t>Xuất xứ</t>
  </si>
  <si>
    <t>Giá niêm yết/răng</t>
  </si>
  <si>
    <t>Giảm</t>
  </si>
  <si>
    <t>Giá sau giảm/ 1 răng</t>
  </si>
  <si>
    <t>Bảo hành</t>
  </si>
  <si>
    <t>Khuyến mãi</t>
  </si>
  <si>
    <t>Zirconia HT</t>
  </si>
  <si>
    <t>Đức</t>
  </si>
  <si>
    <t>2 năm</t>
  </si>
  <si>
    <t>CVR trong thời gian bảo hành</t>
  </si>
  <si>
    <t>DDBIO</t>
  </si>
  <si>
    <t>10 năm</t>
  </si>
  <si>
    <t>Cercon</t>
  </si>
  <si>
    <t>7 năm</t>
  </si>
  <si>
    <t xml:space="preserve">5 năm bảo hành + CVR </t>
  </si>
  <si>
    <t>Cercon HT</t>
  </si>
  <si>
    <t xml:space="preserve">7 năm bảo hành + CVR </t>
  </si>
  <si>
    <t>HT Smile</t>
  </si>
  <si>
    <t>Ceramil</t>
  </si>
  <si>
    <t>Cercon HT Multilayer</t>
  </si>
  <si>
    <t>Nacera</t>
  </si>
  <si>
    <t xml:space="preserve"> 10 năm bảo hành + CVR + Bàn chải điện</t>
  </si>
  <si>
    <t>Lava 3M ESTHETIC</t>
  </si>
  <si>
    <t>Mỹ</t>
  </si>
  <si>
    <t>15 năm</t>
  </si>
  <si>
    <t>Orodent Hight tranlucent</t>
  </si>
  <si>
    <t xml:space="preserve">Ý </t>
  </si>
  <si>
    <t>19 năm</t>
  </si>
  <si>
    <t>Orodent Bleach</t>
  </si>
  <si>
    <t>Trọn đời + CVR + Bàn chải điện</t>
  </si>
  <si>
    <t>Veneer Emax có mài</t>
  </si>
  <si>
    <t>Tặng 5 năm + CVR + Bàn chải điện</t>
  </si>
  <si>
    <t>Veneer Lisi có mài</t>
  </si>
  <si>
    <t>Nhật</t>
  </si>
  <si>
    <t>Orodent High Translucent</t>
  </si>
  <si>
    <t>Đơn giá 2-8 răng</t>
  </si>
  <si>
    <t>Lưu ý</t>
  </si>
  <si>
    <t>Bảng giá 9-15 từ Nacera trở lên xin quản lý BCĐ</t>
  </si>
  <si>
    <t>Bảng giá 2-8 từ lava plus trở lên xin quản lý BCĐ</t>
  </si>
  <si>
    <t>Bảng giá Combo 8 răng</t>
  </si>
  <si>
    <t>Bảng giá Combo 10 răng</t>
  </si>
  <si>
    <t>Emax Zircad</t>
  </si>
  <si>
    <t>3 năm bảo hành + CVR</t>
  </si>
  <si>
    <t>Zircad Prime Esthetic</t>
  </si>
  <si>
    <t xml:space="preserve"> 10 năm bảo hành + CVR </t>
  </si>
  <si>
    <t>Tặng 5 năm + CVR</t>
  </si>
  <si>
    <t>Orodent Bleach Innovation</t>
  </si>
  <si>
    <t xml:space="preserve">10 năm bảo hành + CVR </t>
  </si>
  <si>
    <t>Bảng giá Combo 20</t>
  </si>
  <si>
    <t>Veneer Emax không mài</t>
  </si>
  <si>
    <t xml:space="preserve">  </t>
  </si>
  <si>
    <t>VAT</t>
  </si>
  <si>
    <t>Cost</t>
  </si>
  <si>
    <t>Vat</t>
  </si>
  <si>
    <t>Giới thiệu</t>
  </si>
  <si>
    <t>Total</t>
  </si>
  <si>
    <t>Lợi nhuận</t>
  </si>
  <si>
    <t>Còn lại</t>
  </si>
  <si>
    <t>Tiền còn lại</t>
  </si>
  <si>
    <t>Cost tiền</t>
  </si>
  <si>
    <t>Tiền lợi nhuận</t>
  </si>
  <si>
    <t>Biến phí</t>
  </si>
  <si>
    <t>Tỉ trọng biến phí/
Giá bán sau giảm</t>
  </si>
  <si>
    <t>Lợi nhuận còn lại</t>
  </si>
  <si>
    <t>Giá niêm yết/
răng bao gồm thuế</t>
  </si>
  <si>
    <t>Đặt hẹn online</t>
  </si>
  <si>
    <t>Giá Combo giảm/10 răng</t>
  </si>
  <si>
    <t>Giá Combo giảm/8 răng</t>
  </si>
  <si>
    <t>Khuyến mãi nên có</t>
  </si>
  <si>
    <t>Đơn giá 
Combo 16 răng</t>
  </si>
  <si>
    <t>Giá Combo giảm
/16 răng</t>
  </si>
  <si>
    <t>Đơn giá
 Combo 10 răng</t>
  </si>
  <si>
    <t>Đơn giá 
Combo 20 răng</t>
  </si>
  <si>
    <t>Giá Combo giảm
/20 răng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</si>
</sst>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i/>
      <sz val="11"/>
      <name val="Times New Roman"/>
      <family val="1"/>
    </font>
    <font>
      <b/>
      <i/>
      <sz val="11"/>
      <color theme="1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9" fontId="4" fillId="3" borderId="1" xfId="2" applyFont="1" applyFill="1" applyBorder="1"/>
    <xf numFmtId="164" fontId="3" fillId="3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vertical="center"/>
    </xf>
    <xf numFmtId="0" fontId="4" fillId="0" borderId="0" xfId="0" applyFont="1"/>
    <xf numFmtId="164" fontId="4" fillId="0" borderId="0" xfId="0" applyNumberFormat="1" applyFont="1"/>
    <xf numFmtId="0" fontId="4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9" fontId="4" fillId="5" borderId="1" xfId="2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1" applyNumberFormat="1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/>
    </xf>
    <xf numFmtId="164" fontId="6" fillId="6" borderId="1" xfId="1" applyNumberFormat="1" applyFont="1" applyFill="1" applyBorder="1" applyAlignment="1">
      <alignment vertical="center"/>
    </xf>
    <xf numFmtId="9" fontId="4" fillId="6" borderId="1" xfId="2" applyFont="1" applyFill="1" applyBorder="1"/>
    <xf numFmtId="164" fontId="3" fillId="6" borderId="1" xfId="0" applyNumberFormat="1" applyFont="1" applyFill="1" applyBorder="1"/>
    <xf numFmtId="164" fontId="7" fillId="6" borderId="1" xfId="0" applyNumberFormat="1" applyFont="1" applyFill="1" applyBorder="1"/>
    <xf numFmtId="164" fontId="3" fillId="6" borderId="1" xfId="1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9" fontId="5" fillId="6" borderId="1" xfId="2" applyFont="1" applyFill="1" applyBorder="1"/>
    <xf numFmtId="164" fontId="6" fillId="6" borderId="1" xfId="0" applyNumberFormat="1" applyFont="1" applyFill="1" applyBorder="1"/>
    <xf numFmtId="0" fontId="5" fillId="6" borderId="1" xfId="0" applyFont="1" applyFill="1" applyBorder="1" applyAlignment="1">
      <alignment horizontal="center" vertical="center"/>
    </xf>
    <xf numFmtId="164" fontId="6" fillId="6" borderId="2" xfId="0" applyNumberFormat="1" applyFont="1" applyFill="1" applyBorder="1"/>
    <xf numFmtId="164" fontId="3" fillId="7" borderId="1" xfId="1" applyNumberFormat="1" applyFont="1" applyFill="1" applyBorder="1"/>
    <xf numFmtId="0" fontId="3" fillId="7" borderId="1" xfId="0" applyFont="1" applyFill="1" applyBorder="1" applyAlignment="1">
      <alignment horizontal="center" vertical="center"/>
    </xf>
    <xf numFmtId="164" fontId="6" fillId="7" borderId="1" xfId="1" applyNumberFormat="1" applyFont="1" applyFill="1" applyBorder="1" applyAlignment="1">
      <alignment vertical="center"/>
    </xf>
    <xf numFmtId="164" fontId="6" fillId="7" borderId="1" xfId="1" applyNumberFormat="1" applyFont="1" applyFill="1" applyBorder="1" applyAlignment="1">
      <alignment horizontal="center" vertical="center"/>
    </xf>
    <xf numFmtId="9" fontId="4" fillId="7" borderId="1" xfId="2" applyFont="1" applyFill="1" applyBorder="1"/>
    <xf numFmtId="164" fontId="3" fillId="7" borderId="1" xfId="0" applyNumberFormat="1" applyFont="1" applyFill="1" applyBorder="1"/>
    <xf numFmtId="164" fontId="7" fillId="7" borderId="1" xfId="0" applyNumberFormat="1" applyFont="1" applyFill="1" applyBorder="1"/>
    <xf numFmtId="0" fontId="4" fillId="7" borderId="1" xfId="0" applyFont="1" applyFill="1" applyBorder="1" applyAlignment="1">
      <alignment horizontal="center" vertical="center"/>
    </xf>
    <xf numFmtId="164" fontId="3" fillId="6" borderId="2" xfId="0" applyNumberFormat="1" applyFont="1" applyFill="1" applyBorder="1"/>
    <xf numFmtId="164" fontId="3" fillId="6" borderId="2" xfId="0" applyNumberFormat="1" applyFont="1" applyFill="1" applyBorder="1" applyAlignment="1">
      <alignment horizontal="center"/>
    </xf>
    <xf numFmtId="164" fontId="3" fillId="7" borderId="1" xfId="1" applyNumberFormat="1" applyFont="1" applyFill="1" applyBorder="1" applyAlignment="1">
      <alignment horizontal="center" vertical="center"/>
    </xf>
    <xf numFmtId="9" fontId="4" fillId="7" borderId="1" xfId="2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164" fontId="3" fillId="7" borderId="1" xfId="1" applyNumberFormat="1" applyFont="1" applyFill="1" applyBorder="1" applyAlignment="1">
      <alignment horizontal="center"/>
    </xf>
    <xf numFmtId="164" fontId="3" fillId="7" borderId="2" xfId="1" applyNumberFormat="1" applyFont="1" applyFill="1" applyBorder="1" applyAlignment="1">
      <alignment horizontal="center"/>
    </xf>
    <xf numFmtId="2" fontId="6" fillId="6" borderId="1" xfId="1" applyNumberFormat="1" applyFont="1" applyFill="1" applyBorder="1" applyAlignment="1">
      <alignment vertical="center"/>
    </xf>
    <xf numFmtId="2" fontId="6" fillId="7" borderId="1" xfId="1" applyNumberFormat="1" applyFont="1" applyFill="1" applyBorder="1" applyAlignment="1">
      <alignment vertical="center"/>
    </xf>
    <xf numFmtId="2" fontId="3" fillId="0" borderId="0" xfId="0" applyNumberFormat="1" applyFont="1"/>
    <xf numFmtId="2" fontId="6" fillId="6" borderId="1" xfId="1" applyNumberFormat="1" applyFont="1" applyFill="1" applyBorder="1" applyAlignment="1">
      <alignment horizontal="center" vertical="center"/>
    </xf>
    <xf numFmtId="2" fontId="3" fillId="6" borderId="1" xfId="1" applyNumberFormat="1" applyFont="1" applyFill="1" applyBorder="1"/>
    <xf numFmtId="2" fontId="4" fillId="0" borderId="0" xfId="0" applyNumberFormat="1" applyFont="1"/>
    <xf numFmtId="164" fontId="6" fillId="6" borderId="1" xfId="1" applyNumberFormat="1" applyFont="1" applyFill="1" applyBorder="1"/>
    <xf numFmtId="164" fontId="11" fillId="6" borderId="1" xfId="1" applyNumberFormat="1" applyFont="1" applyFill="1" applyBorder="1"/>
    <xf numFmtId="164" fontId="6" fillId="7" borderId="1" xfId="1" applyNumberFormat="1" applyFont="1" applyFill="1" applyBorder="1"/>
    <xf numFmtId="164" fontId="11" fillId="7" borderId="1" xfId="1" applyNumberFormat="1" applyFont="1" applyFill="1" applyBorder="1"/>
    <xf numFmtId="0" fontId="2" fillId="5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9" fontId="4" fillId="6" borderId="2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9" fontId="5" fillId="6" borderId="2" xfId="0" applyNumberFormat="1" applyFont="1" applyFill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12" fillId="6" borderId="2" xfId="0" applyNumberFormat="1" applyFont="1" applyFill="1" applyBorder="1" applyAlignment="1">
      <alignment horizontal="center" vertical="center"/>
    </xf>
    <xf numFmtId="9" fontId="12" fillId="7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4" fontId="12" fillId="6" borderId="2" xfId="1" applyNumberFormat="1" applyFont="1" applyFill="1" applyBorder="1" applyAlignment="1">
      <alignment horizontal="center" vertical="center"/>
    </xf>
    <xf numFmtId="164" fontId="4" fillId="6" borderId="2" xfId="1" applyNumberFormat="1" applyFont="1" applyFill="1" applyBorder="1" applyAlignment="1">
      <alignment horizontal="center" vertical="center"/>
    </xf>
    <xf numFmtId="164" fontId="4" fillId="7" borderId="2" xfId="1" applyNumberFormat="1" applyFont="1" applyFill="1" applyBorder="1" applyAlignment="1">
      <alignment horizontal="center" vertical="center"/>
    </xf>
    <xf numFmtId="164" fontId="5" fillId="6" borderId="2" xfId="1" applyNumberFormat="1" applyFont="1" applyFill="1" applyBorder="1" applyAlignment="1">
      <alignment horizontal="center" vertical="center"/>
    </xf>
    <xf numFmtId="164" fontId="5" fillId="7" borderId="2" xfId="1" applyNumberFormat="1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 vertical="center"/>
    </xf>
    <xf numFmtId="164" fontId="12" fillId="7" borderId="2" xfId="1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9" fontId="4" fillId="6" borderId="1" xfId="2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2" fillId="5" borderId="0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9" fontId="2" fillId="5" borderId="0" xfId="2" applyFont="1" applyFill="1" applyAlignment="1">
      <alignment horizontal="center" vertical="center"/>
    </xf>
    <xf numFmtId="9" fontId="4" fillId="5" borderId="2" xfId="2" applyFont="1" applyFill="1" applyBorder="1" applyAlignment="1">
      <alignment horizontal="center" vertical="center" wrapText="1"/>
    </xf>
    <xf numFmtId="9" fontId="4" fillId="8" borderId="1" xfId="2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9" fontId="15" fillId="6" borderId="1" xfId="2" applyFont="1" applyFill="1" applyBorder="1" applyAlignment="1">
      <alignment horizontal="center" vertical="center"/>
    </xf>
    <xf numFmtId="9" fontId="15" fillId="8" borderId="1" xfId="2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277692</xdr:colOff>
      <xdr:row>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E0228F-7981-485E-AB39-E8104674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2406529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349129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2149354" cy="895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158629</xdr:colOff>
      <xdr:row>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9354" cy="895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526216</xdr:colOff>
      <xdr:row>4</xdr:row>
      <xdr:rowOff>117799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9354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D221-5126-44A1-87BC-D865D91F2C27}">
  <dimension ref="A1:AB69"/>
  <sheetViews>
    <sheetView tabSelected="1" topLeftCell="A4" workbookViewId="0">
      <selection activeCell="F19" sqref="F19"/>
    </sheetView>
  </sheetViews>
  <sheetFormatPr defaultColWidth="8.75" defaultRowHeight="13.9" x14ac:dyDescent="0.4"/>
  <cols>
    <col min="1" max="1" width="27" style="1" customWidth="1"/>
    <col min="2" max="2" width="8.75" style="1"/>
    <col min="3" max="3" width="17.75" style="1" hidden="1" customWidth="1"/>
    <col min="4" max="4" width="14.375" style="55" customWidth="1"/>
    <col min="5" max="5" width="17.25" style="55" customWidth="1"/>
    <col min="6" max="6" width="8.75" style="7" customWidth="1"/>
    <col min="7" max="7" width="16.125" style="55" hidden="1" customWidth="1"/>
    <col min="8" max="8" width="16.125" style="55" customWidth="1"/>
    <col min="9" max="9" width="18.125" style="58" customWidth="1"/>
    <col min="10" max="10" width="11.25" style="1" customWidth="1"/>
    <col min="11" max="11" width="13.9375" style="87" customWidth="1"/>
    <col min="12" max="12" width="13.9375" style="90" customWidth="1"/>
    <col min="13" max="13" width="13.9375" style="11" customWidth="1"/>
    <col min="14" max="14" width="11.9375" style="11" customWidth="1"/>
    <col min="15" max="17" width="13.9375" style="11" customWidth="1"/>
    <col min="18" max="25" width="11.25" style="1" hidden="1" customWidth="1"/>
    <col min="26" max="26" width="15.5" style="1" hidden="1" customWidth="1"/>
    <col min="27" max="27" width="13.25" style="1" customWidth="1"/>
    <col min="28" max="28" width="37.5" style="1" customWidth="1"/>
    <col min="29" max="16384" width="8.75" style="1"/>
  </cols>
  <sheetData>
    <row r="1" spans="1:28" x14ac:dyDescent="0.4">
      <c r="G1" s="55" t="s">
        <v>52</v>
      </c>
    </row>
    <row r="6" spans="1:28" ht="15" x14ac:dyDescent="0.4">
      <c r="A6" s="97" t="s">
        <v>50</v>
      </c>
      <c r="B6" s="97"/>
      <c r="C6" s="97"/>
      <c r="D6" s="97"/>
      <c r="E6" s="97"/>
      <c r="F6" s="97"/>
      <c r="G6" s="97"/>
      <c r="H6" s="97"/>
      <c r="I6" s="97"/>
      <c r="J6" s="97"/>
      <c r="K6" s="88"/>
      <c r="L6" s="91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8" ht="54" x14ac:dyDescent="0.4">
      <c r="A7" s="12" t="s">
        <v>1</v>
      </c>
      <c r="B7" s="12" t="s">
        <v>2</v>
      </c>
      <c r="C7" s="13" t="s">
        <v>3</v>
      </c>
      <c r="D7" s="86" t="s">
        <v>66</v>
      </c>
      <c r="E7" s="86" t="s">
        <v>74</v>
      </c>
      <c r="F7" s="14" t="s">
        <v>4</v>
      </c>
      <c r="G7" s="15" t="s">
        <v>5</v>
      </c>
      <c r="H7" s="15" t="s">
        <v>5</v>
      </c>
      <c r="I7" s="86" t="s">
        <v>75</v>
      </c>
      <c r="J7" s="12">
        <v>20</v>
      </c>
      <c r="K7" s="89" t="s">
        <v>63</v>
      </c>
      <c r="L7" s="92" t="s">
        <v>64</v>
      </c>
      <c r="M7" s="83" t="s">
        <v>67</v>
      </c>
      <c r="N7" s="83" t="s">
        <v>57</v>
      </c>
      <c r="O7" s="83" t="s">
        <v>70</v>
      </c>
      <c r="P7" s="83" t="s">
        <v>65</v>
      </c>
      <c r="Q7" s="83" t="s">
        <v>62</v>
      </c>
      <c r="R7" s="64" t="s">
        <v>54</v>
      </c>
      <c r="S7" s="64" t="s">
        <v>61</v>
      </c>
      <c r="T7" s="64" t="s">
        <v>55</v>
      </c>
      <c r="U7" s="64" t="s">
        <v>56</v>
      </c>
      <c r="V7" s="64" t="s">
        <v>57</v>
      </c>
      <c r="W7" s="64" t="s">
        <v>58</v>
      </c>
      <c r="X7" s="64" t="s">
        <v>7</v>
      </c>
      <c r="Y7" s="64" t="s">
        <v>59</v>
      </c>
      <c r="Z7" s="64" t="s">
        <v>60</v>
      </c>
      <c r="AA7" s="9" t="s">
        <v>6</v>
      </c>
      <c r="AB7" s="2" t="s">
        <v>7</v>
      </c>
    </row>
    <row r="8" spans="1:28" ht="17.25" x14ac:dyDescent="0.45">
      <c r="A8" s="31" t="s">
        <v>8</v>
      </c>
      <c r="B8" s="16" t="s">
        <v>9</v>
      </c>
      <c r="C8" s="26">
        <v>2500000</v>
      </c>
      <c r="D8" s="26">
        <f>C8+(C8*10%)</f>
        <v>2750000</v>
      </c>
      <c r="E8" s="17">
        <f t="shared" ref="E8:E21" si="0">D8*J8</f>
        <v>55000000</v>
      </c>
      <c r="F8" s="33">
        <v>0.4</v>
      </c>
      <c r="G8" s="59">
        <f>(D8-(D8*F8))</f>
        <v>1650000</v>
      </c>
      <c r="H8" s="59">
        <f>ROUND(VALUE(G8), -5)</f>
        <v>1700000</v>
      </c>
      <c r="I8" s="60">
        <f>H8*J8</f>
        <v>34000000</v>
      </c>
      <c r="J8" s="35">
        <f>J7</f>
        <v>20</v>
      </c>
      <c r="K8" s="80">
        <v>31695000</v>
      </c>
      <c r="L8" s="84">
        <f>(K8/I8)*100%</f>
        <v>0.93220588235294122</v>
      </c>
      <c r="M8" s="84">
        <v>0.05</v>
      </c>
      <c r="N8" s="84">
        <f>L8+M8</f>
        <v>0.98220588235294126</v>
      </c>
      <c r="O8" s="84"/>
      <c r="P8" s="84">
        <f>100%-N8</f>
        <v>1.7794117647058738E-2</v>
      </c>
      <c r="Q8" s="85">
        <f>P8*I8</f>
        <v>604999.99999999709</v>
      </c>
      <c r="R8" s="70">
        <v>0.7</v>
      </c>
      <c r="S8" s="78">
        <f>I8*R8</f>
        <v>23800000</v>
      </c>
      <c r="T8" s="66">
        <v>0.1</v>
      </c>
      <c r="U8" s="66">
        <v>0.15</v>
      </c>
      <c r="V8" s="66">
        <f>R8+T8+U8</f>
        <v>0.95</v>
      </c>
      <c r="W8" s="72">
        <f>100%-V8</f>
        <v>5.0000000000000044E-2</v>
      </c>
      <c r="X8" s="72"/>
      <c r="Y8" s="72">
        <f>W8-X8</f>
        <v>5.0000000000000044E-2</v>
      </c>
      <c r="Z8" s="72"/>
      <c r="AA8" s="36" t="s">
        <v>10</v>
      </c>
      <c r="AB8" s="34" t="s">
        <v>11</v>
      </c>
    </row>
    <row r="9" spans="1:28" ht="17.25" x14ac:dyDescent="0.45">
      <c r="A9" s="31" t="s">
        <v>12</v>
      </c>
      <c r="B9" s="16" t="s">
        <v>9</v>
      </c>
      <c r="C9" s="26">
        <v>3500000</v>
      </c>
      <c r="D9" s="26">
        <f t="shared" ref="D9:D25" si="1">C9+(C9*10%)</f>
        <v>3850000</v>
      </c>
      <c r="E9" s="17">
        <f t="shared" si="0"/>
        <v>77000000</v>
      </c>
      <c r="F9" s="33">
        <v>0.4</v>
      </c>
      <c r="G9" s="59">
        <f t="shared" ref="G9:G25" si="2">D9-(D9*F9)</f>
        <v>2310000</v>
      </c>
      <c r="H9" s="59">
        <f t="shared" ref="H9:H25" si="3">ROUND(VALUE(G9), -5)</f>
        <v>2300000</v>
      </c>
      <c r="I9" s="60">
        <f t="shared" ref="I9:I25" si="4">H9*J9</f>
        <v>46000000</v>
      </c>
      <c r="J9" s="35">
        <f t="shared" ref="J9:J21" si="5">J8</f>
        <v>20</v>
      </c>
      <c r="K9" s="80">
        <v>38977000</v>
      </c>
      <c r="L9" s="84">
        <f t="shared" ref="L9:L21" si="6">(K9/I9)*100%</f>
        <v>0.84732608695652178</v>
      </c>
      <c r="M9" s="84">
        <v>0.05</v>
      </c>
      <c r="N9" s="84">
        <f t="shared" ref="N9:N21" si="7">L9+M9</f>
        <v>0.89732608695652183</v>
      </c>
      <c r="O9" s="84"/>
      <c r="P9" s="84">
        <f t="shared" ref="P9:P12" si="8">100%-N9</f>
        <v>0.10267391304347817</v>
      </c>
      <c r="Q9" s="85">
        <f>P9*I9</f>
        <v>4722999.9999999963</v>
      </c>
      <c r="R9" s="70">
        <v>0.64</v>
      </c>
      <c r="S9" s="78">
        <f t="shared" ref="S9:S25" si="9">I9*R9</f>
        <v>29440000</v>
      </c>
      <c r="T9" s="66">
        <v>0.1</v>
      </c>
      <c r="U9" s="66">
        <v>0.15</v>
      </c>
      <c r="V9" s="66">
        <f t="shared" ref="V9:V25" si="10">R9+T9+U9</f>
        <v>0.89</v>
      </c>
      <c r="W9" s="72">
        <f t="shared" ref="W9:W25" si="11">100%-V9</f>
        <v>0.10999999999999999</v>
      </c>
      <c r="X9" s="72"/>
      <c r="Y9" s="72">
        <f t="shared" ref="Y9:Y21" si="12">W9-X9</f>
        <v>0.10999999999999999</v>
      </c>
      <c r="Z9" s="72"/>
      <c r="AA9" s="36" t="s">
        <v>13</v>
      </c>
      <c r="AB9" s="34" t="s">
        <v>11</v>
      </c>
    </row>
    <row r="10" spans="1:28" ht="17.25" x14ac:dyDescent="0.45">
      <c r="A10" s="31" t="s">
        <v>14</v>
      </c>
      <c r="B10" s="16" t="s">
        <v>9</v>
      </c>
      <c r="C10" s="26">
        <v>4000000</v>
      </c>
      <c r="D10" s="26">
        <f t="shared" si="1"/>
        <v>4400000</v>
      </c>
      <c r="E10" s="17">
        <f t="shared" si="0"/>
        <v>88000000</v>
      </c>
      <c r="F10" s="33">
        <v>0.37</v>
      </c>
      <c r="G10" s="59">
        <f t="shared" si="2"/>
        <v>2772000</v>
      </c>
      <c r="H10" s="59">
        <f t="shared" si="3"/>
        <v>2800000</v>
      </c>
      <c r="I10" s="60">
        <f t="shared" si="4"/>
        <v>56000000</v>
      </c>
      <c r="J10" s="35">
        <f t="shared" si="5"/>
        <v>20</v>
      </c>
      <c r="K10" s="80">
        <v>45712000</v>
      </c>
      <c r="L10" s="84">
        <f t="shared" si="6"/>
        <v>0.81628571428571428</v>
      </c>
      <c r="M10" s="84">
        <v>0.05</v>
      </c>
      <c r="N10" s="84">
        <f t="shared" si="7"/>
        <v>0.86628571428571433</v>
      </c>
      <c r="O10" s="84"/>
      <c r="P10" s="84">
        <f t="shared" si="8"/>
        <v>0.13371428571428567</v>
      </c>
      <c r="Q10" s="85">
        <f>P10*I10</f>
        <v>7487999.9999999981</v>
      </c>
      <c r="R10" s="70">
        <v>0.62</v>
      </c>
      <c r="S10" s="78">
        <f t="shared" si="9"/>
        <v>34720000</v>
      </c>
      <c r="T10" s="66">
        <v>0.1</v>
      </c>
      <c r="U10" s="66">
        <v>0.15</v>
      </c>
      <c r="V10" s="66">
        <f t="shared" si="10"/>
        <v>0.87</v>
      </c>
      <c r="W10" s="72">
        <f t="shared" si="11"/>
        <v>0.13</v>
      </c>
      <c r="X10" s="72"/>
      <c r="Y10" s="72">
        <f t="shared" si="12"/>
        <v>0.13</v>
      </c>
      <c r="Z10" s="72"/>
      <c r="AA10" s="36" t="s">
        <v>15</v>
      </c>
      <c r="AB10" s="34" t="s">
        <v>16</v>
      </c>
    </row>
    <row r="11" spans="1:28" ht="17.25" x14ac:dyDescent="0.45">
      <c r="A11" s="31" t="s">
        <v>43</v>
      </c>
      <c r="B11" s="16" t="s">
        <v>25</v>
      </c>
      <c r="C11" s="26">
        <v>6000000</v>
      </c>
      <c r="D11" s="26">
        <f t="shared" si="1"/>
        <v>6600000</v>
      </c>
      <c r="E11" s="17">
        <f t="shared" si="0"/>
        <v>132000000</v>
      </c>
      <c r="F11" s="33">
        <v>0.45</v>
      </c>
      <c r="G11" s="59">
        <f t="shared" si="2"/>
        <v>3630000</v>
      </c>
      <c r="H11" s="59">
        <f t="shared" si="3"/>
        <v>3600000</v>
      </c>
      <c r="I11" s="60">
        <f t="shared" si="4"/>
        <v>72000000</v>
      </c>
      <c r="J11" s="35">
        <f t="shared" si="5"/>
        <v>20</v>
      </c>
      <c r="K11" s="76">
        <v>52088000</v>
      </c>
      <c r="L11" s="84">
        <f t="shared" si="6"/>
        <v>0.72344444444444445</v>
      </c>
      <c r="M11" s="84">
        <v>0.05</v>
      </c>
      <c r="N11" s="84">
        <f t="shared" si="7"/>
        <v>0.77344444444444449</v>
      </c>
      <c r="O11" s="84"/>
      <c r="P11" s="84">
        <f t="shared" si="8"/>
        <v>0.22655555555555551</v>
      </c>
      <c r="Q11" s="85">
        <f>P11*I11</f>
        <v>16311999.999999996</v>
      </c>
      <c r="R11" s="70">
        <v>0.55000000000000004</v>
      </c>
      <c r="S11" s="78">
        <f t="shared" si="9"/>
        <v>39600000</v>
      </c>
      <c r="T11" s="66">
        <v>0.1</v>
      </c>
      <c r="U11" s="66">
        <v>0.15</v>
      </c>
      <c r="V11" s="66">
        <f t="shared" si="10"/>
        <v>0.8</v>
      </c>
      <c r="W11" s="72">
        <f t="shared" si="11"/>
        <v>0.19999999999999996</v>
      </c>
      <c r="X11" s="72"/>
      <c r="Y11" s="72">
        <f t="shared" si="12"/>
        <v>0.19999999999999996</v>
      </c>
      <c r="Z11" s="72"/>
      <c r="AA11" s="36" t="s">
        <v>13</v>
      </c>
      <c r="AB11" s="34" t="s">
        <v>44</v>
      </c>
    </row>
    <row r="12" spans="1:28" ht="17.25" x14ac:dyDescent="0.45">
      <c r="A12" s="31" t="s">
        <v>17</v>
      </c>
      <c r="B12" s="16" t="s">
        <v>9</v>
      </c>
      <c r="C12" s="26">
        <v>6000000</v>
      </c>
      <c r="D12" s="26">
        <f t="shared" si="1"/>
        <v>6600000</v>
      </c>
      <c r="E12" s="17">
        <f t="shared" si="0"/>
        <v>132000000</v>
      </c>
      <c r="F12" s="33">
        <v>0.45</v>
      </c>
      <c r="G12" s="59">
        <f t="shared" si="2"/>
        <v>3630000</v>
      </c>
      <c r="H12" s="59">
        <f t="shared" si="3"/>
        <v>3600000</v>
      </c>
      <c r="I12" s="60">
        <f t="shared" si="4"/>
        <v>72000000</v>
      </c>
      <c r="J12" s="35">
        <f t="shared" si="5"/>
        <v>20</v>
      </c>
      <c r="K12" s="80"/>
      <c r="L12" s="84">
        <f t="shared" si="6"/>
        <v>0</v>
      </c>
      <c r="M12" s="84">
        <v>0.05</v>
      </c>
      <c r="N12" s="84">
        <f t="shared" si="7"/>
        <v>0.05</v>
      </c>
      <c r="O12" s="84"/>
      <c r="P12" s="84">
        <f t="shared" si="8"/>
        <v>0.95</v>
      </c>
      <c r="Q12" s="85">
        <f t="shared" ref="Q12:Q25" si="13">P12*I12</f>
        <v>68400000</v>
      </c>
      <c r="R12" s="69"/>
      <c r="S12" s="78">
        <f t="shared" si="9"/>
        <v>0</v>
      </c>
      <c r="T12" s="66">
        <v>0.1</v>
      </c>
      <c r="U12" s="66">
        <v>0.15</v>
      </c>
      <c r="V12" s="66">
        <f t="shared" si="10"/>
        <v>0.25</v>
      </c>
      <c r="W12" s="72">
        <f t="shared" si="11"/>
        <v>0.75</v>
      </c>
      <c r="X12" s="72"/>
      <c r="Y12" s="72">
        <f t="shared" si="12"/>
        <v>0.75</v>
      </c>
      <c r="Z12" s="72"/>
      <c r="AA12" s="36" t="s">
        <v>15</v>
      </c>
      <c r="AB12" s="34" t="s">
        <v>18</v>
      </c>
    </row>
    <row r="13" spans="1:28" ht="16.899999999999999" customHeight="1" x14ac:dyDescent="0.45">
      <c r="A13" s="31" t="s">
        <v>19</v>
      </c>
      <c r="B13" s="16" t="s">
        <v>9</v>
      </c>
      <c r="C13" s="26">
        <v>7500000</v>
      </c>
      <c r="D13" s="26">
        <f t="shared" si="1"/>
        <v>8250000</v>
      </c>
      <c r="E13" s="17">
        <f t="shared" si="0"/>
        <v>165000000</v>
      </c>
      <c r="F13" s="33">
        <v>0.45</v>
      </c>
      <c r="G13" s="59">
        <f t="shared" si="2"/>
        <v>4537500</v>
      </c>
      <c r="H13" s="59">
        <f t="shared" si="3"/>
        <v>4500000</v>
      </c>
      <c r="I13" s="60">
        <f t="shared" si="4"/>
        <v>90000000</v>
      </c>
      <c r="J13" s="35">
        <f t="shared" si="5"/>
        <v>20</v>
      </c>
      <c r="K13" s="80">
        <v>63704000</v>
      </c>
      <c r="L13" s="84">
        <f t="shared" si="6"/>
        <v>0.70782222222222224</v>
      </c>
      <c r="M13" s="84">
        <v>0.05</v>
      </c>
      <c r="N13" s="84">
        <f t="shared" si="7"/>
        <v>0.75782222222222229</v>
      </c>
      <c r="O13" s="95">
        <v>0.1</v>
      </c>
      <c r="P13" s="84">
        <f>100%-(N13+O13)</f>
        <v>0.14217777777777774</v>
      </c>
      <c r="Q13" s="85">
        <f t="shared" si="13"/>
        <v>12795999.999999996</v>
      </c>
      <c r="R13" s="70">
        <v>0.43</v>
      </c>
      <c r="S13" s="78">
        <f t="shared" si="9"/>
        <v>38700000</v>
      </c>
      <c r="T13" s="66">
        <v>0.1</v>
      </c>
      <c r="U13" s="66">
        <v>0.15</v>
      </c>
      <c r="V13" s="66">
        <f t="shared" si="10"/>
        <v>0.68</v>
      </c>
      <c r="W13" s="72">
        <f t="shared" si="11"/>
        <v>0.31999999999999995</v>
      </c>
      <c r="X13" s="72">
        <v>0.1</v>
      </c>
      <c r="Y13" s="72">
        <f t="shared" si="12"/>
        <v>0.21999999999999995</v>
      </c>
      <c r="Z13" s="75">
        <f>I13*Y13</f>
        <v>19799999.999999996</v>
      </c>
      <c r="AA13" s="36" t="s">
        <v>13</v>
      </c>
      <c r="AB13" s="34" t="s">
        <v>16</v>
      </c>
    </row>
    <row r="14" spans="1:28" ht="17.25" x14ac:dyDescent="0.45">
      <c r="A14" s="31" t="s">
        <v>20</v>
      </c>
      <c r="B14" s="16" t="s">
        <v>9</v>
      </c>
      <c r="C14" s="26">
        <v>8500000</v>
      </c>
      <c r="D14" s="26">
        <f t="shared" si="1"/>
        <v>9350000</v>
      </c>
      <c r="E14" s="17">
        <f t="shared" si="0"/>
        <v>187000000</v>
      </c>
      <c r="F14" s="33">
        <v>0.45</v>
      </c>
      <c r="G14" s="59">
        <f t="shared" si="2"/>
        <v>5142500</v>
      </c>
      <c r="H14" s="59">
        <f t="shared" si="3"/>
        <v>5100000</v>
      </c>
      <c r="I14" s="60">
        <f t="shared" si="4"/>
        <v>102000000</v>
      </c>
      <c r="J14" s="35">
        <f t="shared" si="5"/>
        <v>20</v>
      </c>
      <c r="K14" s="80">
        <v>58293000</v>
      </c>
      <c r="L14" s="84">
        <f t="shared" si="6"/>
        <v>0.57150000000000001</v>
      </c>
      <c r="M14" s="84">
        <v>0.05</v>
      </c>
      <c r="N14" s="84">
        <f t="shared" si="7"/>
        <v>0.62150000000000005</v>
      </c>
      <c r="O14" s="95">
        <v>0.1</v>
      </c>
      <c r="P14" s="84">
        <f t="shared" ref="P14:P25" si="14">100%-(N14+O14)</f>
        <v>0.27849999999999997</v>
      </c>
      <c r="Q14" s="85">
        <f t="shared" si="13"/>
        <v>28406999.999999996</v>
      </c>
      <c r="R14" s="70">
        <v>0.41</v>
      </c>
      <c r="S14" s="78">
        <f t="shared" si="9"/>
        <v>41820000</v>
      </c>
      <c r="T14" s="66">
        <v>0.1</v>
      </c>
      <c r="U14" s="66">
        <v>0.15</v>
      </c>
      <c r="V14" s="66">
        <f t="shared" si="10"/>
        <v>0.66</v>
      </c>
      <c r="W14" s="72">
        <f t="shared" si="11"/>
        <v>0.33999999999999997</v>
      </c>
      <c r="X14" s="72">
        <v>0.1</v>
      </c>
      <c r="Y14" s="72">
        <f t="shared" si="12"/>
        <v>0.23999999999999996</v>
      </c>
      <c r="Z14" s="75">
        <f t="shared" ref="Z14:Z21" si="15">I14*Y14</f>
        <v>24479999.999999996</v>
      </c>
      <c r="AA14" s="36" t="s">
        <v>13</v>
      </c>
      <c r="AB14" s="34" t="s">
        <v>18</v>
      </c>
    </row>
    <row r="15" spans="1:28" ht="17.25" x14ac:dyDescent="0.45">
      <c r="A15" s="31" t="s">
        <v>45</v>
      </c>
      <c r="B15" s="16" t="s">
        <v>25</v>
      </c>
      <c r="C15" s="26">
        <f>9000000</f>
        <v>9000000</v>
      </c>
      <c r="D15" s="26">
        <f t="shared" si="1"/>
        <v>9900000</v>
      </c>
      <c r="E15" s="17">
        <f t="shared" si="0"/>
        <v>198000000</v>
      </c>
      <c r="F15" s="33">
        <v>0.45</v>
      </c>
      <c r="G15" s="59">
        <f t="shared" si="2"/>
        <v>5445000</v>
      </c>
      <c r="H15" s="59">
        <f t="shared" si="3"/>
        <v>5400000</v>
      </c>
      <c r="I15" s="60">
        <f t="shared" si="4"/>
        <v>108000000</v>
      </c>
      <c r="J15" s="35">
        <f t="shared" si="5"/>
        <v>20</v>
      </c>
      <c r="K15" s="76"/>
      <c r="L15" s="84">
        <f t="shared" si="6"/>
        <v>0</v>
      </c>
      <c r="M15" s="84">
        <v>0.05</v>
      </c>
      <c r="N15" s="84">
        <f t="shared" si="7"/>
        <v>0.05</v>
      </c>
      <c r="O15" s="95">
        <v>0.1</v>
      </c>
      <c r="P15" s="84">
        <f t="shared" si="14"/>
        <v>0.85</v>
      </c>
      <c r="Q15" s="85">
        <f t="shared" si="13"/>
        <v>91800000</v>
      </c>
      <c r="R15" s="69"/>
      <c r="S15" s="78">
        <f t="shared" si="9"/>
        <v>0</v>
      </c>
      <c r="T15" s="66">
        <v>0.1</v>
      </c>
      <c r="U15" s="66">
        <v>0.15</v>
      </c>
      <c r="V15" s="66">
        <f t="shared" si="10"/>
        <v>0.25</v>
      </c>
      <c r="W15" s="72">
        <f t="shared" si="11"/>
        <v>0.75</v>
      </c>
      <c r="X15" s="72">
        <v>0.1</v>
      </c>
      <c r="Y15" s="72">
        <f t="shared" si="12"/>
        <v>0.65</v>
      </c>
      <c r="Z15" s="75">
        <f t="shared" si="15"/>
        <v>70200000</v>
      </c>
      <c r="AA15" s="36" t="s">
        <v>13</v>
      </c>
      <c r="AB15" s="34" t="s">
        <v>18</v>
      </c>
    </row>
    <row r="16" spans="1:28" ht="18.75" customHeight="1" x14ac:dyDescent="0.45">
      <c r="A16" s="31" t="s">
        <v>21</v>
      </c>
      <c r="B16" s="16" t="s">
        <v>9</v>
      </c>
      <c r="C16" s="26">
        <v>9000000</v>
      </c>
      <c r="D16" s="26">
        <f t="shared" si="1"/>
        <v>9900000</v>
      </c>
      <c r="E16" s="17">
        <f t="shared" si="0"/>
        <v>198000000</v>
      </c>
      <c r="F16" s="33">
        <v>0.45</v>
      </c>
      <c r="G16" s="59">
        <f t="shared" si="2"/>
        <v>5445000</v>
      </c>
      <c r="H16" s="59">
        <f t="shared" si="3"/>
        <v>5400000</v>
      </c>
      <c r="I16" s="60">
        <f t="shared" si="4"/>
        <v>108000000</v>
      </c>
      <c r="J16" s="35">
        <f t="shared" si="5"/>
        <v>20</v>
      </c>
      <c r="K16" s="80">
        <v>59934000</v>
      </c>
      <c r="L16" s="84">
        <f t="shared" si="6"/>
        <v>0.55494444444444446</v>
      </c>
      <c r="M16" s="84">
        <v>0.05</v>
      </c>
      <c r="N16" s="84">
        <f t="shared" si="7"/>
        <v>0.60494444444444451</v>
      </c>
      <c r="O16" s="95">
        <v>0.1</v>
      </c>
      <c r="P16" s="84">
        <f t="shared" si="14"/>
        <v>0.29505555555555552</v>
      </c>
      <c r="Q16" s="85">
        <f t="shared" si="13"/>
        <v>31865999.999999996</v>
      </c>
      <c r="R16" s="70">
        <v>0.38</v>
      </c>
      <c r="S16" s="78">
        <f t="shared" si="9"/>
        <v>41040000</v>
      </c>
      <c r="T16" s="66">
        <v>0.1</v>
      </c>
      <c r="U16" s="66">
        <v>0.15</v>
      </c>
      <c r="V16" s="66">
        <f t="shared" si="10"/>
        <v>0.63</v>
      </c>
      <c r="W16" s="72">
        <f t="shared" si="11"/>
        <v>0.37</v>
      </c>
      <c r="X16" s="72">
        <v>0.1</v>
      </c>
      <c r="Y16" s="72">
        <f t="shared" si="12"/>
        <v>0.27</v>
      </c>
      <c r="Z16" s="75">
        <f t="shared" si="15"/>
        <v>29160000.000000004</v>
      </c>
      <c r="AA16" s="36" t="s">
        <v>15</v>
      </c>
      <c r="AB16" s="34" t="s">
        <v>49</v>
      </c>
    </row>
    <row r="17" spans="1:28" ht="17.25" x14ac:dyDescent="0.45">
      <c r="A17" s="31" t="s">
        <v>22</v>
      </c>
      <c r="B17" s="16" t="s">
        <v>9</v>
      </c>
      <c r="C17" s="26">
        <v>10000000</v>
      </c>
      <c r="D17" s="26">
        <f t="shared" si="1"/>
        <v>11000000</v>
      </c>
      <c r="E17" s="17">
        <f t="shared" si="0"/>
        <v>220000000</v>
      </c>
      <c r="F17" s="33">
        <v>0.45</v>
      </c>
      <c r="G17" s="59">
        <f t="shared" si="2"/>
        <v>6050000</v>
      </c>
      <c r="H17" s="59">
        <f t="shared" si="3"/>
        <v>6100000</v>
      </c>
      <c r="I17" s="60">
        <f t="shared" si="4"/>
        <v>122000000</v>
      </c>
      <c r="J17" s="35">
        <f t="shared" si="5"/>
        <v>20</v>
      </c>
      <c r="K17" s="80">
        <v>69763000</v>
      </c>
      <c r="L17" s="84">
        <f t="shared" si="6"/>
        <v>0.57182786885245906</v>
      </c>
      <c r="M17" s="84">
        <v>0.05</v>
      </c>
      <c r="N17" s="84">
        <f t="shared" si="7"/>
        <v>0.62182786885245911</v>
      </c>
      <c r="O17" s="95">
        <v>0.1</v>
      </c>
      <c r="P17" s="84">
        <f t="shared" si="14"/>
        <v>0.27817213114754091</v>
      </c>
      <c r="Q17" s="85">
        <f t="shared" si="13"/>
        <v>33936999.999999993</v>
      </c>
      <c r="R17" s="70">
        <v>0.4</v>
      </c>
      <c r="S17" s="78">
        <f t="shared" si="9"/>
        <v>48800000</v>
      </c>
      <c r="T17" s="66">
        <v>0.1</v>
      </c>
      <c r="U17" s="66">
        <v>0.15</v>
      </c>
      <c r="V17" s="66">
        <f t="shared" si="10"/>
        <v>0.65</v>
      </c>
      <c r="W17" s="72">
        <f t="shared" si="11"/>
        <v>0.35</v>
      </c>
      <c r="X17" s="72">
        <v>0.1</v>
      </c>
      <c r="Y17" s="72">
        <f t="shared" si="12"/>
        <v>0.24999999999999997</v>
      </c>
      <c r="Z17" s="75">
        <f t="shared" si="15"/>
        <v>30499999.999999996</v>
      </c>
      <c r="AA17" s="36" t="s">
        <v>13</v>
      </c>
      <c r="AB17" s="34" t="s">
        <v>46</v>
      </c>
    </row>
    <row r="18" spans="1:28" ht="17.25" x14ac:dyDescent="0.45">
      <c r="A18" s="31" t="s">
        <v>24</v>
      </c>
      <c r="B18" s="16" t="s">
        <v>25</v>
      </c>
      <c r="C18" s="26">
        <v>11500000</v>
      </c>
      <c r="D18" s="26">
        <f t="shared" si="1"/>
        <v>12650000</v>
      </c>
      <c r="E18" s="17">
        <f t="shared" si="0"/>
        <v>253000000</v>
      </c>
      <c r="F18" s="33">
        <v>0.45</v>
      </c>
      <c r="G18" s="59">
        <f t="shared" si="2"/>
        <v>6957500</v>
      </c>
      <c r="H18" s="59">
        <f t="shared" si="3"/>
        <v>7000000</v>
      </c>
      <c r="I18" s="60">
        <f t="shared" si="4"/>
        <v>140000000</v>
      </c>
      <c r="J18" s="35">
        <f t="shared" si="5"/>
        <v>20</v>
      </c>
      <c r="K18" s="80">
        <v>74686000</v>
      </c>
      <c r="L18" s="84">
        <f t="shared" si="6"/>
        <v>0.5334714285714286</v>
      </c>
      <c r="M18" s="84">
        <v>0.05</v>
      </c>
      <c r="N18" s="84">
        <f t="shared" si="7"/>
        <v>0.58347142857142864</v>
      </c>
      <c r="O18" s="95">
        <v>0.1</v>
      </c>
      <c r="P18" s="84">
        <f t="shared" si="14"/>
        <v>0.31652857142857138</v>
      </c>
      <c r="Q18" s="85">
        <f t="shared" si="13"/>
        <v>44313999.999999993</v>
      </c>
      <c r="R18" s="70">
        <v>0.41</v>
      </c>
      <c r="S18" s="78">
        <f t="shared" si="9"/>
        <v>57400000</v>
      </c>
      <c r="T18" s="66">
        <v>0.1</v>
      </c>
      <c r="U18" s="66">
        <v>0.15</v>
      </c>
      <c r="V18" s="66">
        <f t="shared" si="10"/>
        <v>0.66</v>
      </c>
      <c r="W18" s="72">
        <f t="shared" si="11"/>
        <v>0.33999999999999997</v>
      </c>
      <c r="X18" s="72">
        <v>0.1</v>
      </c>
      <c r="Y18" s="72">
        <f t="shared" si="12"/>
        <v>0.23999999999999996</v>
      </c>
      <c r="Z18" s="75">
        <f t="shared" si="15"/>
        <v>33599999.999999993</v>
      </c>
      <c r="AA18" s="36" t="s">
        <v>26</v>
      </c>
      <c r="AB18" s="34" t="s">
        <v>23</v>
      </c>
    </row>
    <row r="19" spans="1:28" ht="17.25" x14ac:dyDescent="0.45">
      <c r="A19" s="31" t="s">
        <v>27</v>
      </c>
      <c r="B19" s="16" t="s">
        <v>28</v>
      </c>
      <c r="C19" s="26">
        <v>12000000</v>
      </c>
      <c r="D19" s="26">
        <f t="shared" si="1"/>
        <v>13200000</v>
      </c>
      <c r="E19" s="17">
        <f t="shared" si="0"/>
        <v>264000000</v>
      </c>
      <c r="F19" s="33">
        <v>0.5</v>
      </c>
      <c r="G19" s="59">
        <f t="shared" si="2"/>
        <v>6600000</v>
      </c>
      <c r="H19" s="59">
        <f t="shared" si="3"/>
        <v>6600000</v>
      </c>
      <c r="I19" s="60">
        <f t="shared" si="4"/>
        <v>132000000</v>
      </c>
      <c r="J19" s="35">
        <f t="shared" si="5"/>
        <v>20</v>
      </c>
      <c r="K19" s="80">
        <v>88498000</v>
      </c>
      <c r="L19" s="84">
        <f t="shared" si="6"/>
        <v>0.67043939393939389</v>
      </c>
      <c r="M19" s="84">
        <v>0.05</v>
      </c>
      <c r="N19" s="84">
        <f t="shared" si="7"/>
        <v>0.72043939393939394</v>
      </c>
      <c r="O19" s="95">
        <v>0.1</v>
      </c>
      <c r="P19" s="84">
        <f t="shared" si="14"/>
        <v>0.17956060606060609</v>
      </c>
      <c r="Q19" s="85">
        <f t="shared" si="13"/>
        <v>23702000.000000004</v>
      </c>
      <c r="R19" s="70">
        <v>0.46</v>
      </c>
      <c r="S19" s="78">
        <f t="shared" si="9"/>
        <v>60720000</v>
      </c>
      <c r="T19" s="66">
        <v>0.1</v>
      </c>
      <c r="U19" s="66">
        <v>0.15</v>
      </c>
      <c r="V19" s="66">
        <f t="shared" si="10"/>
        <v>0.71000000000000008</v>
      </c>
      <c r="W19" s="72">
        <f t="shared" si="11"/>
        <v>0.28999999999999992</v>
      </c>
      <c r="X19" s="72">
        <v>0.1</v>
      </c>
      <c r="Y19" s="72">
        <f t="shared" si="12"/>
        <v>0.18999999999999992</v>
      </c>
      <c r="Z19" s="75">
        <f t="shared" si="15"/>
        <v>25079999.999999989</v>
      </c>
      <c r="AA19" s="36" t="s">
        <v>29</v>
      </c>
      <c r="AB19" s="34" t="s">
        <v>23</v>
      </c>
    </row>
    <row r="20" spans="1:28" ht="17.25" x14ac:dyDescent="0.45">
      <c r="A20" s="31" t="s">
        <v>30</v>
      </c>
      <c r="B20" s="16" t="s">
        <v>28</v>
      </c>
      <c r="C20" s="26">
        <v>14000000</v>
      </c>
      <c r="D20" s="26">
        <f t="shared" si="1"/>
        <v>15400000</v>
      </c>
      <c r="E20" s="17">
        <f t="shared" si="0"/>
        <v>308000000</v>
      </c>
      <c r="F20" s="33">
        <v>0.5</v>
      </c>
      <c r="G20" s="59">
        <f t="shared" si="2"/>
        <v>7700000</v>
      </c>
      <c r="H20" s="59">
        <f t="shared" si="3"/>
        <v>7700000</v>
      </c>
      <c r="I20" s="60">
        <f t="shared" si="4"/>
        <v>154000000</v>
      </c>
      <c r="J20" s="35">
        <f t="shared" si="5"/>
        <v>20</v>
      </c>
      <c r="K20" s="80">
        <v>98515000</v>
      </c>
      <c r="L20" s="84">
        <f t="shared" si="6"/>
        <v>0.63970779220779217</v>
      </c>
      <c r="M20" s="84">
        <v>0.05</v>
      </c>
      <c r="N20" s="84">
        <f t="shared" si="7"/>
        <v>0.68970779220779221</v>
      </c>
      <c r="O20" s="95">
        <v>0.1</v>
      </c>
      <c r="P20" s="84">
        <f t="shared" si="14"/>
        <v>0.21029220779220781</v>
      </c>
      <c r="Q20" s="85">
        <f t="shared" si="13"/>
        <v>32385000.000000004</v>
      </c>
      <c r="R20" s="70">
        <v>0.39</v>
      </c>
      <c r="S20" s="78">
        <f t="shared" si="9"/>
        <v>60060000</v>
      </c>
      <c r="T20" s="66">
        <v>0.1</v>
      </c>
      <c r="U20" s="66">
        <v>0.15</v>
      </c>
      <c r="V20" s="66">
        <f t="shared" si="10"/>
        <v>0.64</v>
      </c>
      <c r="W20" s="72">
        <f t="shared" si="11"/>
        <v>0.36</v>
      </c>
      <c r="X20" s="72">
        <v>0.1</v>
      </c>
      <c r="Y20" s="72">
        <f t="shared" si="12"/>
        <v>0.26</v>
      </c>
      <c r="Z20" s="75">
        <f t="shared" si="15"/>
        <v>40040000</v>
      </c>
      <c r="AA20" s="36" t="s">
        <v>29</v>
      </c>
      <c r="AB20" s="34" t="s">
        <v>31</v>
      </c>
    </row>
    <row r="21" spans="1:28" ht="17.25" x14ac:dyDescent="0.45">
      <c r="A21" s="31" t="s">
        <v>48</v>
      </c>
      <c r="B21" s="16" t="s">
        <v>28</v>
      </c>
      <c r="C21" s="26">
        <v>20000000</v>
      </c>
      <c r="D21" s="26">
        <f t="shared" si="1"/>
        <v>22000000</v>
      </c>
      <c r="E21" s="17">
        <f t="shared" si="0"/>
        <v>440000000</v>
      </c>
      <c r="F21" s="33">
        <v>0.56999999999999995</v>
      </c>
      <c r="G21" s="59">
        <f t="shared" si="2"/>
        <v>9460000.0000000019</v>
      </c>
      <c r="H21" s="59">
        <f t="shared" si="3"/>
        <v>9500000</v>
      </c>
      <c r="I21" s="60">
        <f t="shared" si="4"/>
        <v>190000000</v>
      </c>
      <c r="J21" s="35">
        <f t="shared" si="5"/>
        <v>20</v>
      </c>
      <c r="K21" s="80">
        <v>108361000</v>
      </c>
      <c r="L21" s="84">
        <f t="shared" si="6"/>
        <v>0.57032105263157895</v>
      </c>
      <c r="M21" s="84">
        <v>0.05</v>
      </c>
      <c r="N21" s="84">
        <f t="shared" si="7"/>
        <v>0.620321052631579</v>
      </c>
      <c r="O21" s="95">
        <v>0.1</v>
      </c>
      <c r="P21" s="84">
        <f t="shared" si="14"/>
        <v>0.27967894736842103</v>
      </c>
      <c r="Q21" s="85">
        <f t="shared" si="13"/>
        <v>53138999.999999993</v>
      </c>
      <c r="R21" s="70">
        <v>0.3</v>
      </c>
      <c r="S21" s="78">
        <f t="shared" si="9"/>
        <v>57000000</v>
      </c>
      <c r="T21" s="66">
        <v>0.1</v>
      </c>
      <c r="U21" s="66">
        <v>0.15</v>
      </c>
      <c r="V21" s="66">
        <f t="shared" si="10"/>
        <v>0.55000000000000004</v>
      </c>
      <c r="W21" s="72">
        <f t="shared" si="11"/>
        <v>0.44999999999999996</v>
      </c>
      <c r="X21" s="72">
        <v>0.1</v>
      </c>
      <c r="Y21" s="72">
        <f t="shared" si="12"/>
        <v>0.35</v>
      </c>
      <c r="Z21" s="75">
        <f t="shared" si="15"/>
        <v>66499999.999999993</v>
      </c>
      <c r="AA21" s="36" t="s">
        <v>29</v>
      </c>
      <c r="AB21" s="34" t="s">
        <v>31</v>
      </c>
    </row>
    <row r="22" spans="1:28" ht="17.25" x14ac:dyDescent="0.45">
      <c r="A22" s="5"/>
      <c r="B22" s="5"/>
      <c r="C22" s="6"/>
      <c r="D22" s="53"/>
      <c r="E22" s="56"/>
      <c r="F22" s="3"/>
      <c r="G22" s="57"/>
      <c r="H22" s="59">
        <f t="shared" si="3"/>
        <v>0</v>
      </c>
      <c r="I22" s="60"/>
      <c r="J22" s="20"/>
      <c r="K22" s="65"/>
      <c r="L22" s="65"/>
      <c r="M22" s="65"/>
      <c r="N22" s="65"/>
      <c r="O22" s="65"/>
      <c r="P22" s="84"/>
      <c r="Q22" s="65"/>
      <c r="R22" s="20"/>
      <c r="S22" s="78"/>
      <c r="T22" s="20"/>
      <c r="U22" s="66"/>
      <c r="V22" s="66"/>
      <c r="W22" s="72"/>
      <c r="X22" s="72"/>
      <c r="Y22" s="72"/>
      <c r="Z22" s="72"/>
      <c r="AA22" s="4"/>
      <c r="AB22" s="4"/>
    </row>
    <row r="23" spans="1:28" ht="17.25" x14ac:dyDescent="0.45">
      <c r="A23" s="37" t="s">
        <v>32</v>
      </c>
      <c r="B23" s="38" t="s">
        <v>9</v>
      </c>
      <c r="C23" s="37">
        <v>8000000</v>
      </c>
      <c r="D23" s="54">
        <f t="shared" si="1"/>
        <v>8800000</v>
      </c>
      <c r="E23" s="40">
        <f>D23*J23</f>
        <v>176000000</v>
      </c>
      <c r="F23" s="41">
        <v>0.5</v>
      </c>
      <c r="G23" s="37">
        <f t="shared" si="2"/>
        <v>4400000</v>
      </c>
      <c r="H23" s="61">
        <f t="shared" si="3"/>
        <v>4400000</v>
      </c>
      <c r="I23" s="62">
        <f t="shared" si="4"/>
        <v>88000000</v>
      </c>
      <c r="J23" s="44">
        <f>J7</f>
        <v>20</v>
      </c>
      <c r="K23" s="81">
        <v>66310000</v>
      </c>
      <c r="L23" s="93">
        <f t="shared" ref="L23:L25" si="16">(K23/I23)*100%</f>
        <v>0.75352272727272729</v>
      </c>
      <c r="M23" s="93">
        <v>0.03</v>
      </c>
      <c r="N23" s="93">
        <f t="shared" ref="N23:N25" si="17">L23+M23</f>
        <v>0.78352272727272732</v>
      </c>
      <c r="O23" s="96"/>
      <c r="P23" s="93">
        <f t="shared" si="14"/>
        <v>0.21647727272727268</v>
      </c>
      <c r="Q23" s="94">
        <f t="shared" si="13"/>
        <v>19049999.999999996</v>
      </c>
      <c r="R23" s="67">
        <v>0.37</v>
      </c>
      <c r="S23" s="79">
        <f t="shared" si="9"/>
        <v>32560000</v>
      </c>
      <c r="T23" s="71">
        <v>0.1</v>
      </c>
      <c r="U23" s="71">
        <v>0.15</v>
      </c>
      <c r="V23" s="71">
        <f t="shared" si="10"/>
        <v>0.62</v>
      </c>
      <c r="W23" s="73">
        <f t="shared" si="11"/>
        <v>0.38</v>
      </c>
      <c r="X23" s="73"/>
      <c r="Y23" s="73"/>
      <c r="Z23" s="73"/>
      <c r="AA23" s="37" t="s">
        <v>13</v>
      </c>
      <c r="AB23" s="37" t="s">
        <v>47</v>
      </c>
    </row>
    <row r="24" spans="1:28" ht="17.25" x14ac:dyDescent="0.45">
      <c r="A24" s="37" t="s">
        <v>34</v>
      </c>
      <c r="B24" s="38" t="s">
        <v>35</v>
      </c>
      <c r="C24" s="37">
        <v>10000000</v>
      </c>
      <c r="D24" s="54">
        <f t="shared" si="1"/>
        <v>11000000</v>
      </c>
      <c r="E24" s="40">
        <f>D24*J24</f>
        <v>220000000</v>
      </c>
      <c r="F24" s="41">
        <v>0.5</v>
      </c>
      <c r="G24" s="37">
        <f t="shared" si="2"/>
        <v>5500000</v>
      </c>
      <c r="H24" s="61">
        <f t="shared" si="3"/>
        <v>5500000</v>
      </c>
      <c r="I24" s="62">
        <f t="shared" si="4"/>
        <v>110000000</v>
      </c>
      <c r="J24" s="44">
        <f t="shared" ref="J24:J25" si="18">J8</f>
        <v>20</v>
      </c>
      <c r="K24" s="81">
        <v>74515000</v>
      </c>
      <c r="L24" s="93">
        <f t="shared" si="16"/>
        <v>0.67740909090909096</v>
      </c>
      <c r="M24" s="93">
        <v>0.03</v>
      </c>
      <c r="N24" s="93">
        <f t="shared" si="17"/>
        <v>0.70740909090909099</v>
      </c>
      <c r="O24" s="96"/>
      <c r="P24" s="93">
        <f t="shared" si="14"/>
        <v>0.29259090909090901</v>
      </c>
      <c r="Q24" s="94">
        <f t="shared" si="13"/>
        <v>32184999.999999993</v>
      </c>
      <c r="R24" s="67">
        <v>0.32</v>
      </c>
      <c r="S24" s="79">
        <f t="shared" si="9"/>
        <v>35200000</v>
      </c>
      <c r="T24" s="71">
        <v>0.1</v>
      </c>
      <c r="U24" s="71">
        <v>0.15</v>
      </c>
      <c r="V24" s="71">
        <f t="shared" si="10"/>
        <v>0.57000000000000006</v>
      </c>
      <c r="W24" s="73">
        <f t="shared" si="11"/>
        <v>0.42999999999999994</v>
      </c>
      <c r="X24" s="73"/>
      <c r="Y24" s="73"/>
      <c r="Z24" s="73"/>
      <c r="AA24" s="37" t="s">
        <v>13</v>
      </c>
      <c r="AB24" s="37" t="s">
        <v>33</v>
      </c>
    </row>
    <row r="25" spans="1:28" ht="17.25" x14ac:dyDescent="0.45">
      <c r="A25" s="37" t="s">
        <v>51</v>
      </c>
      <c r="B25" s="38" t="s">
        <v>9</v>
      </c>
      <c r="C25" s="37">
        <v>15000000</v>
      </c>
      <c r="D25" s="54">
        <f t="shared" si="1"/>
        <v>16500000</v>
      </c>
      <c r="E25" s="40">
        <f>D25*J25</f>
        <v>330000000</v>
      </c>
      <c r="F25" s="41">
        <v>0.5</v>
      </c>
      <c r="G25" s="37">
        <f t="shared" si="2"/>
        <v>8250000</v>
      </c>
      <c r="H25" s="61">
        <f t="shared" si="3"/>
        <v>8300000</v>
      </c>
      <c r="I25" s="62">
        <f t="shared" si="4"/>
        <v>166000000</v>
      </c>
      <c r="J25" s="44">
        <f t="shared" si="18"/>
        <v>20</v>
      </c>
      <c r="K25" s="81">
        <v>95848000</v>
      </c>
      <c r="L25" s="93">
        <f t="shared" si="16"/>
        <v>0.57739759036144578</v>
      </c>
      <c r="M25" s="93">
        <v>0.03</v>
      </c>
      <c r="N25" s="93">
        <f t="shared" si="17"/>
        <v>0.6073975903614458</v>
      </c>
      <c r="O25" s="96"/>
      <c r="P25" s="93">
        <f t="shared" si="14"/>
        <v>0.3926024096385542</v>
      </c>
      <c r="Q25" s="94">
        <f t="shared" si="13"/>
        <v>65172000</v>
      </c>
      <c r="R25" s="67">
        <v>0.25</v>
      </c>
      <c r="S25" s="79">
        <f t="shared" si="9"/>
        <v>41500000</v>
      </c>
      <c r="T25" s="71">
        <v>0.1</v>
      </c>
      <c r="U25" s="71">
        <v>0.15</v>
      </c>
      <c r="V25" s="71">
        <f t="shared" si="10"/>
        <v>0.5</v>
      </c>
      <c r="W25" s="73">
        <f t="shared" si="11"/>
        <v>0.5</v>
      </c>
      <c r="X25" s="73"/>
      <c r="Y25" s="73"/>
      <c r="Z25" s="73"/>
      <c r="AA25" s="37" t="s">
        <v>13</v>
      </c>
      <c r="AB25" s="37" t="s">
        <v>33</v>
      </c>
    </row>
    <row r="26" spans="1:28" x14ac:dyDescent="0.4">
      <c r="E26" s="56"/>
    </row>
    <row r="67" spans="1:1" x14ac:dyDescent="0.4">
      <c r="A67" s="7" t="s">
        <v>38</v>
      </c>
    </row>
    <row r="68" spans="1:1" x14ac:dyDescent="0.4">
      <c r="A68" s="1" t="s">
        <v>39</v>
      </c>
    </row>
    <row r="69" spans="1:1" x14ac:dyDescent="0.4">
      <c r="A69" s="1" t="s">
        <v>40</v>
      </c>
    </row>
  </sheetData>
  <mergeCells count="1">
    <mergeCell ref="A6:J6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B69"/>
  <sheetViews>
    <sheetView showGridLines="0" topLeftCell="A9" workbookViewId="0">
      <selection activeCell="F9" sqref="F9"/>
    </sheetView>
  </sheetViews>
  <sheetFormatPr defaultColWidth="8.75" defaultRowHeight="13.9" x14ac:dyDescent="0.4"/>
  <cols>
    <col min="1" max="1" width="27" style="1" customWidth="1"/>
    <col min="2" max="2" width="9.5" style="1" customWidth="1"/>
    <col min="3" max="3" width="17.75" style="1" hidden="1" customWidth="1"/>
    <col min="4" max="4" width="17.75" style="1" customWidth="1"/>
    <col min="5" max="5" width="17.25" style="1" customWidth="1"/>
    <col min="6" max="6" width="8.75" style="7" customWidth="1"/>
    <col min="7" max="7" width="16.125" style="1" hidden="1" customWidth="1"/>
    <col min="8" max="8" width="16.125" style="1" customWidth="1"/>
    <col min="9" max="9" width="20.5" style="7" customWidth="1"/>
    <col min="10" max="10" width="11.25" style="1" customWidth="1"/>
    <col min="11" max="11" width="13.9375" style="87" customWidth="1"/>
    <col min="12" max="12" width="13.9375" style="90" customWidth="1"/>
    <col min="13" max="13" width="13.9375" style="11" customWidth="1"/>
    <col min="14" max="14" width="11.9375" style="11" customWidth="1"/>
    <col min="15" max="17" width="13.9375" style="11" customWidth="1"/>
    <col min="18" max="25" width="11.25" style="1" hidden="1" customWidth="1"/>
    <col min="26" max="26" width="17.125" style="1" hidden="1" customWidth="1"/>
    <col min="27" max="27" width="17.125" style="1" customWidth="1"/>
    <col min="28" max="28" width="37.5" style="1" customWidth="1"/>
    <col min="29" max="16384" width="8.75" style="1"/>
  </cols>
  <sheetData>
    <row r="6" spans="1:28" ht="15" x14ac:dyDescent="0.4">
      <c r="A6" s="97" t="s">
        <v>0</v>
      </c>
      <c r="B6" s="97"/>
      <c r="C6" s="97"/>
      <c r="D6" s="97"/>
      <c r="E6" s="97"/>
      <c r="F6" s="97"/>
      <c r="G6" s="97"/>
      <c r="H6" s="97"/>
      <c r="I6" s="97"/>
      <c r="J6" s="97"/>
      <c r="K6" s="88"/>
      <c r="L6" s="91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8" ht="54" x14ac:dyDescent="0.4">
      <c r="A7" s="12" t="s">
        <v>1</v>
      </c>
      <c r="B7" s="12" t="s">
        <v>2</v>
      </c>
      <c r="C7" s="13" t="s">
        <v>3</v>
      </c>
      <c r="D7" s="86" t="s">
        <v>66</v>
      </c>
      <c r="E7" s="86" t="s">
        <v>71</v>
      </c>
      <c r="F7" s="14" t="s">
        <v>4</v>
      </c>
      <c r="G7" s="15" t="s">
        <v>5</v>
      </c>
      <c r="H7" s="15" t="s">
        <v>5</v>
      </c>
      <c r="I7" s="86" t="s">
        <v>72</v>
      </c>
      <c r="J7" s="24">
        <v>16</v>
      </c>
      <c r="K7" s="89" t="s">
        <v>63</v>
      </c>
      <c r="L7" s="92" t="s">
        <v>64</v>
      </c>
      <c r="M7" s="83" t="s">
        <v>67</v>
      </c>
      <c r="N7" s="83" t="s">
        <v>57</v>
      </c>
      <c r="O7" s="83" t="s">
        <v>70</v>
      </c>
      <c r="P7" s="83" t="s">
        <v>65</v>
      </c>
      <c r="Q7" s="83" t="s">
        <v>62</v>
      </c>
      <c r="R7" s="64" t="s">
        <v>54</v>
      </c>
      <c r="S7" s="64" t="s">
        <v>61</v>
      </c>
      <c r="T7" s="64" t="s">
        <v>53</v>
      </c>
      <c r="U7" s="64" t="s">
        <v>56</v>
      </c>
      <c r="V7" s="64" t="s">
        <v>57</v>
      </c>
      <c r="W7" s="64" t="s">
        <v>58</v>
      </c>
      <c r="X7" s="64" t="s">
        <v>7</v>
      </c>
      <c r="Y7" s="64" t="s">
        <v>59</v>
      </c>
      <c r="Z7" s="64" t="s">
        <v>62</v>
      </c>
      <c r="AA7" s="9" t="s">
        <v>6</v>
      </c>
      <c r="AB7" s="2" t="s">
        <v>7</v>
      </c>
    </row>
    <row r="8" spans="1:28" ht="17.25" x14ac:dyDescent="0.45">
      <c r="A8" s="31" t="s">
        <v>8</v>
      </c>
      <c r="B8" s="16" t="s">
        <v>9</v>
      </c>
      <c r="C8" s="26">
        <v>2500000</v>
      </c>
      <c r="D8" s="26">
        <f>C8+(C8*10%)</f>
        <v>2750000</v>
      </c>
      <c r="E8" s="17">
        <f>D8*J8</f>
        <v>44000000</v>
      </c>
      <c r="F8" s="27">
        <v>0.4</v>
      </c>
      <c r="G8" s="28">
        <f>D8-(D8*F8)</f>
        <v>1650000</v>
      </c>
      <c r="H8" s="28">
        <f>ROUND(VALUE(G8), -5)</f>
        <v>1700000</v>
      </c>
      <c r="I8" s="29">
        <f>H8*J8</f>
        <v>27200000</v>
      </c>
      <c r="J8" s="20">
        <f>J7</f>
        <v>16</v>
      </c>
      <c r="K8" s="80">
        <v>26716000</v>
      </c>
      <c r="L8" s="84">
        <f>(K8/I8)*100%</f>
        <v>0.98220588235294115</v>
      </c>
      <c r="M8" s="84">
        <v>0.05</v>
      </c>
      <c r="N8" s="84">
        <f>L8+M8</f>
        <v>1.0322058823529412</v>
      </c>
      <c r="O8" s="84"/>
      <c r="P8" s="84">
        <f>100%-N8</f>
        <v>-3.2205882352941195E-2</v>
      </c>
      <c r="Q8" s="85">
        <f>P8*I8</f>
        <v>-876000.00000000047</v>
      </c>
      <c r="R8" s="66">
        <v>0.72</v>
      </c>
      <c r="S8" s="76">
        <f>I8*R8</f>
        <v>19584000</v>
      </c>
      <c r="T8" s="66">
        <v>0.1</v>
      </c>
      <c r="U8" s="66">
        <v>0.15</v>
      </c>
      <c r="V8" s="66">
        <f>R8+T8+U8</f>
        <v>0.97</v>
      </c>
      <c r="W8" s="72">
        <f>100%-V8</f>
        <v>3.0000000000000027E-2</v>
      </c>
      <c r="X8" s="72"/>
      <c r="Y8" s="72">
        <f>W8-X8</f>
        <v>3.0000000000000027E-2</v>
      </c>
      <c r="Z8" s="75">
        <f>I8*Y8</f>
        <v>816000.0000000007</v>
      </c>
      <c r="AA8" s="45" t="s">
        <v>10</v>
      </c>
      <c r="AB8" s="34" t="s">
        <v>11</v>
      </c>
    </row>
    <row r="9" spans="1:28" ht="17.25" x14ac:dyDescent="0.45">
      <c r="A9" s="32" t="s">
        <v>12</v>
      </c>
      <c r="B9" s="21" t="s">
        <v>9</v>
      </c>
      <c r="C9" s="30">
        <v>3500000</v>
      </c>
      <c r="D9" s="26">
        <f t="shared" ref="D9:D25" si="0">C9+(C9*10%)</f>
        <v>3850000</v>
      </c>
      <c r="E9" s="17">
        <f t="shared" ref="E9:E26" si="1">D9*J9</f>
        <v>61600000</v>
      </c>
      <c r="F9" s="27">
        <v>0.4</v>
      </c>
      <c r="G9" s="28">
        <f t="shared" ref="G9:G25" si="2">D9-(D9*F9)</f>
        <v>2310000</v>
      </c>
      <c r="H9" s="28">
        <f t="shared" ref="H9:H25" si="3">ROUND(VALUE(G9), -5)</f>
        <v>2300000</v>
      </c>
      <c r="I9" s="29">
        <f t="shared" ref="I9:I25" si="4">H9*J9</f>
        <v>36800000</v>
      </c>
      <c r="J9" s="20">
        <f>J8</f>
        <v>16</v>
      </c>
      <c r="K9" s="80">
        <v>32541000</v>
      </c>
      <c r="L9" s="84">
        <f t="shared" ref="L9:L21" si="5">(K9/I9)*100%</f>
        <v>0.88426630434782605</v>
      </c>
      <c r="M9" s="84">
        <v>0.05</v>
      </c>
      <c r="N9" s="84">
        <f t="shared" ref="N9:N21" si="6">L9+M9</f>
        <v>0.93426630434782609</v>
      </c>
      <c r="O9" s="84"/>
      <c r="P9" s="84">
        <f t="shared" ref="P9:P12" si="7">100%-N9</f>
        <v>6.5733695652173907E-2</v>
      </c>
      <c r="Q9" s="85">
        <f>P9*I9</f>
        <v>2419000</v>
      </c>
      <c r="R9" s="66">
        <v>0.65</v>
      </c>
      <c r="S9" s="76">
        <f t="shared" ref="S9:S25" si="8">I9*R9</f>
        <v>23920000</v>
      </c>
      <c r="T9" s="66">
        <v>0.1</v>
      </c>
      <c r="U9" s="66">
        <v>0.15</v>
      </c>
      <c r="V9" s="66">
        <f t="shared" ref="V9:V25" si="9">R9+T9+U9</f>
        <v>0.9</v>
      </c>
      <c r="W9" s="72">
        <f t="shared" ref="W9:W25" si="10">100%-V9</f>
        <v>9.9999999999999978E-2</v>
      </c>
      <c r="X9" s="72"/>
      <c r="Y9" s="72">
        <f t="shared" ref="Y9:Y21" si="11">W9-X9</f>
        <v>9.9999999999999978E-2</v>
      </c>
      <c r="Z9" s="75">
        <f t="shared" ref="Z9:Z21" si="12">I9*Y9</f>
        <v>3679999.9999999991</v>
      </c>
      <c r="AA9" s="45" t="s">
        <v>13</v>
      </c>
      <c r="AB9" s="34" t="s">
        <v>11</v>
      </c>
    </row>
    <row r="10" spans="1:28" ht="17.25" x14ac:dyDescent="0.45">
      <c r="A10" s="32" t="s">
        <v>14</v>
      </c>
      <c r="B10" s="21" t="s">
        <v>9</v>
      </c>
      <c r="C10" s="30">
        <v>4000000</v>
      </c>
      <c r="D10" s="26">
        <f t="shared" si="0"/>
        <v>4400000</v>
      </c>
      <c r="E10" s="17">
        <f t="shared" si="1"/>
        <v>70400000</v>
      </c>
      <c r="F10" s="27">
        <v>0.37</v>
      </c>
      <c r="G10" s="28">
        <f t="shared" si="2"/>
        <v>2772000</v>
      </c>
      <c r="H10" s="28">
        <f t="shared" si="3"/>
        <v>2800000</v>
      </c>
      <c r="I10" s="29">
        <f t="shared" si="4"/>
        <v>44800000</v>
      </c>
      <c r="J10" s="20">
        <f t="shared" ref="J10:J21" si="13">J8</f>
        <v>16</v>
      </c>
      <c r="K10" s="80">
        <v>37929000</v>
      </c>
      <c r="L10" s="84">
        <f t="shared" si="5"/>
        <v>0.84662946428571428</v>
      </c>
      <c r="M10" s="84">
        <v>0.05</v>
      </c>
      <c r="N10" s="84">
        <f t="shared" si="6"/>
        <v>0.89662946428571433</v>
      </c>
      <c r="O10" s="84"/>
      <c r="P10" s="84">
        <f t="shared" si="7"/>
        <v>0.10337053571428567</v>
      </c>
      <c r="Q10" s="85">
        <f>P10*I10</f>
        <v>4630999.9999999981</v>
      </c>
      <c r="R10" s="66">
        <v>0.78</v>
      </c>
      <c r="S10" s="76">
        <f t="shared" si="8"/>
        <v>34944000</v>
      </c>
      <c r="T10" s="66">
        <v>0.1</v>
      </c>
      <c r="U10" s="66">
        <v>0</v>
      </c>
      <c r="V10" s="66">
        <f t="shared" si="9"/>
        <v>0.88</v>
      </c>
      <c r="W10" s="72">
        <f t="shared" si="10"/>
        <v>0.12</v>
      </c>
      <c r="X10" s="72"/>
      <c r="Y10" s="72">
        <f t="shared" si="11"/>
        <v>0.12</v>
      </c>
      <c r="Z10" s="75">
        <f t="shared" si="12"/>
        <v>5376000</v>
      </c>
      <c r="AA10" s="45" t="s">
        <v>15</v>
      </c>
      <c r="AB10" s="34" t="s">
        <v>16</v>
      </c>
    </row>
    <row r="11" spans="1:28" ht="17.25" x14ac:dyDescent="0.45">
      <c r="A11" s="32" t="s">
        <v>43</v>
      </c>
      <c r="B11" s="21" t="s">
        <v>25</v>
      </c>
      <c r="C11" s="30">
        <v>6000000</v>
      </c>
      <c r="D11" s="26">
        <f t="shared" si="0"/>
        <v>6600000</v>
      </c>
      <c r="E11" s="17">
        <f t="shared" si="1"/>
        <v>105600000</v>
      </c>
      <c r="F11" s="27">
        <v>0.45</v>
      </c>
      <c r="G11" s="28">
        <f t="shared" si="2"/>
        <v>3630000</v>
      </c>
      <c r="H11" s="28">
        <f t="shared" si="3"/>
        <v>3600000</v>
      </c>
      <c r="I11" s="29">
        <f t="shared" si="4"/>
        <v>57600000</v>
      </c>
      <c r="J11" s="20">
        <v>16</v>
      </c>
      <c r="K11" s="76">
        <v>43040000</v>
      </c>
      <c r="L11" s="84">
        <f t="shared" si="5"/>
        <v>0.74722222222222223</v>
      </c>
      <c r="M11" s="84">
        <v>0.05</v>
      </c>
      <c r="N11" s="84">
        <f t="shared" si="6"/>
        <v>0.79722222222222228</v>
      </c>
      <c r="O11" s="84"/>
      <c r="P11" s="84">
        <f t="shared" si="7"/>
        <v>0.20277777777777772</v>
      </c>
      <c r="Q11" s="85">
        <f>P11*I11</f>
        <v>11679999.999999996</v>
      </c>
      <c r="R11" s="66">
        <v>0.55000000000000004</v>
      </c>
      <c r="S11" s="76">
        <f t="shared" si="8"/>
        <v>31680000.000000004</v>
      </c>
      <c r="T11" s="66">
        <v>0.1</v>
      </c>
      <c r="U11" s="66">
        <v>0.15</v>
      </c>
      <c r="V11" s="66">
        <f t="shared" si="9"/>
        <v>0.8</v>
      </c>
      <c r="W11" s="72">
        <f t="shared" si="10"/>
        <v>0.19999999999999996</v>
      </c>
      <c r="X11" s="72"/>
      <c r="Y11" s="72">
        <f t="shared" si="11"/>
        <v>0.19999999999999996</v>
      </c>
      <c r="Z11" s="75">
        <f t="shared" si="12"/>
        <v>11519999.999999998</v>
      </c>
      <c r="AA11" s="45" t="s">
        <v>13</v>
      </c>
      <c r="AB11" s="34" t="s">
        <v>44</v>
      </c>
    </row>
    <row r="12" spans="1:28" ht="17.25" x14ac:dyDescent="0.45">
      <c r="A12" s="32" t="s">
        <v>17</v>
      </c>
      <c r="B12" s="21" t="s">
        <v>9</v>
      </c>
      <c r="C12" s="30">
        <v>6000000</v>
      </c>
      <c r="D12" s="26">
        <f t="shared" si="0"/>
        <v>6600000</v>
      </c>
      <c r="E12" s="17">
        <f t="shared" si="1"/>
        <v>105600000</v>
      </c>
      <c r="F12" s="27">
        <v>0.45</v>
      </c>
      <c r="G12" s="28">
        <f t="shared" si="2"/>
        <v>3630000</v>
      </c>
      <c r="H12" s="28">
        <f t="shared" si="3"/>
        <v>3600000</v>
      </c>
      <c r="I12" s="29">
        <f t="shared" si="4"/>
        <v>57600000</v>
      </c>
      <c r="J12" s="20">
        <f>J9</f>
        <v>16</v>
      </c>
      <c r="K12" s="80"/>
      <c r="L12" s="84">
        <f t="shared" si="5"/>
        <v>0</v>
      </c>
      <c r="M12" s="84">
        <v>0.05</v>
      </c>
      <c r="N12" s="84">
        <f t="shared" si="6"/>
        <v>0.05</v>
      </c>
      <c r="O12" s="84"/>
      <c r="P12" s="84">
        <f t="shared" si="7"/>
        <v>0.95</v>
      </c>
      <c r="Q12" s="85">
        <f t="shared" ref="Q12:Q25" si="14">P12*I12</f>
        <v>54720000</v>
      </c>
      <c r="R12" s="65"/>
      <c r="S12" s="76">
        <f t="shared" si="8"/>
        <v>0</v>
      </c>
      <c r="T12" s="66">
        <v>0.1</v>
      </c>
      <c r="U12" s="66">
        <v>0.15</v>
      </c>
      <c r="V12" s="66">
        <f t="shared" si="9"/>
        <v>0.25</v>
      </c>
      <c r="W12" s="72">
        <f t="shared" si="10"/>
        <v>0.75</v>
      </c>
      <c r="X12" s="72"/>
      <c r="Y12" s="72">
        <f t="shared" si="11"/>
        <v>0.75</v>
      </c>
      <c r="Z12" s="75">
        <f t="shared" si="12"/>
        <v>43200000</v>
      </c>
      <c r="AA12" s="45" t="s">
        <v>15</v>
      </c>
      <c r="AB12" s="34" t="s">
        <v>18</v>
      </c>
    </row>
    <row r="13" spans="1:28" ht="17.25" x14ac:dyDescent="0.45">
      <c r="A13" s="32" t="s">
        <v>19</v>
      </c>
      <c r="B13" s="21" t="s">
        <v>9</v>
      </c>
      <c r="C13" s="30">
        <v>7500000</v>
      </c>
      <c r="D13" s="26">
        <f t="shared" si="0"/>
        <v>8250000</v>
      </c>
      <c r="E13" s="17">
        <f t="shared" si="1"/>
        <v>132000000</v>
      </c>
      <c r="F13" s="27">
        <v>0.45</v>
      </c>
      <c r="G13" s="28">
        <f t="shared" si="2"/>
        <v>4537500</v>
      </c>
      <c r="H13" s="28">
        <f t="shared" si="3"/>
        <v>4500000</v>
      </c>
      <c r="I13" s="29">
        <f t="shared" si="4"/>
        <v>72000000</v>
      </c>
      <c r="J13" s="20">
        <f>J10</f>
        <v>16</v>
      </c>
      <c r="K13" s="80">
        <v>45368000</v>
      </c>
      <c r="L13" s="84">
        <f t="shared" si="5"/>
        <v>0.63011111111111107</v>
      </c>
      <c r="M13" s="84">
        <v>0.05</v>
      </c>
      <c r="N13" s="84">
        <f t="shared" si="6"/>
        <v>0.68011111111111111</v>
      </c>
      <c r="O13" s="95">
        <v>0.1</v>
      </c>
      <c r="P13" s="84">
        <f>100%-(N13+O13)</f>
        <v>0.21988888888888891</v>
      </c>
      <c r="Q13" s="85">
        <f t="shared" si="14"/>
        <v>15832000.000000002</v>
      </c>
      <c r="R13" s="66">
        <v>0.44</v>
      </c>
      <c r="S13" s="76">
        <f t="shared" si="8"/>
        <v>31680000</v>
      </c>
      <c r="T13" s="66">
        <v>0.1</v>
      </c>
      <c r="U13" s="66">
        <v>0.15</v>
      </c>
      <c r="V13" s="66">
        <f t="shared" si="9"/>
        <v>0.69000000000000006</v>
      </c>
      <c r="W13" s="72">
        <f t="shared" si="10"/>
        <v>0.30999999999999994</v>
      </c>
      <c r="X13" s="72">
        <v>0.1</v>
      </c>
      <c r="Y13" s="72">
        <f t="shared" si="11"/>
        <v>0.20999999999999994</v>
      </c>
      <c r="Z13" s="75">
        <f t="shared" si="12"/>
        <v>15119999.999999996</v>
      </c>
      <c r="AA13" s="45" t="s">
        <v>13</v>
      </c>
      <c r="AB13" s="34" t="s">
        <v>16</v>
      </c>
    </row>
    <row r="14" spans="1:28" ht="17.25" x14ac:dyDescent="0.45">
      <c r="A14" s="32" t="s">
        <v>20</v>
      </c>
      <c r="B14" s="21" t="s">
        <v>9</v>
      </c>
      <c r="C14" s="30">
        <v>8500000</v>
      </c>
      <c r="D14" s="26">
        <f t="shared" si="0"/>
        <v>9350000</v>
      </c>
      <c r="E14" s="17">
        <f t="shared" si="1"/>
        <v>149600000</v>
      </c>
      <c r="F14" s="27">
        <v>0.45</v>
      </c>
      <c r="G14" s="28">
        <f t="shared" si="2"/>
        <v>5142500</v>
      </c>
      <c r="H14" s="28">
        <f t="shared" si="3"/>
        <v>5100000</v>
      </c>
      <c r="I14" s="29">
        <f t="shared" si="4"/>
        <v>81600000</v>
      </c>
      <c r="J14" s="20">
        <f t="shared" si="13"/>
        <v>16</v>
      </c>
      <c r="K14" s="80">
        <v>47994000</v>
      </c>
      <c r="L14" s="84">
        <f t="shared" si="5"/>
        <v>0.58816176470588233</v>
      </c>
      <c r="M14" s="84">
        <v>0.05</v>
      </c>
      <c r="N14" s="84">
        <f t="shared" si="6"/>
        <v>0.63816176470588237</v>
      </c>
      <c r="O14" s="95">
        <v>0.1</v>
      </c>
      <c r="P14" s="84">
        <f t="shared" ref="P14:P25" si="15">100%-(N14+O14)</f>
        <v>0.26183823529411765</v>
      </c>
      <c r="Q14" s="85">
        <f t="shared" si="14"/>
        <v>21366000</v>
      </c>
      <c r="R14" s="66">
        <v>0.42</v>
      </c>
      <c r="S14" s="76">
        <f t="shared" si="8"/>
        <v>34272000</v>
      </c>
      <c r="T14" s="66">
        <v>0.1</v>
      </c>
      <c r="U14" s="66">
        <v>0.15</v>
      </c>
      <c r="V14" s="66">
        <f t="shared" si="9"/>
        <v>0.67</v>
      </c>
      <c r="W14" s="72">
        <f t="shared" si="10"/>
        <v>0.32999999999999996</v>
      </c>
      <c r="X14" s="72">
        <v>0.1</v>
      </c>
      <c r="Y14" s="72">
        <f t="shared" si="11"/>
        <v>0.22999999999999995</v>
      </c>
      <c r="Z14" s="75">
        <f t="shared" si="12"/>
        <v>18767999.999999996</v>
      </c>
      <c r="AA14" s="45" t="s">
        <v>13</v>
      </c>
      <c r="AB14" s="34" t="s">
        <v>18</v>
      </c>
    </row>
    <row r="15" spans="1:28" ht="17.25" x14ac:dyDescent="0.45">
      <c r="A15" s="32" t="s">
        <v>45</v>
      </c>
      <c r="B15" s="21" t="s">
        <v>25</v>
      </c>
      <c r="C15" s="30">
        <f>9000000</f>
        <v>9000000</v>
      </c>
      <c r="D15" s="26">
        <f t="shared" si="0"/>
        <v>9900000</v>
      </c>
      <c r="E15" s="17">
        <f t="shared" si="1"/>
        <v>158400000</v>
      </c>
      <c r="F15" s="27">
        <v>0.45</v>
      </c>
      <c r="G15" s="28">
        <f t="shared" si="2"/>
        <v>5445000</v>
      </c>
      <c r="H15" s="28">
        <f t="shared" si="3"/>
        <v>5400000</v>
      </c>
      <c r="I15" s="29">
        <f t="shared" si="4"/>
        <v>86400000</v>
      </c>
      <c r="J15" s="20">
        <v>16</v>
      </c>
      <c r="K15" s="76"/>
      <c r="L15" s="84">
        <f t="shared" si="5"/>
        <v>0</v>
      </c>
      <c r="M15" s="84">
        <v>0.05</v>
      </c>
      <c r="N15" s="84">
        <f t="shared" si="6"/>
        <v>0.05</v>
      </c>
      <c r="O15" s="95">
        <v>0.1</v>
      </c>
      <c r="P15" s="84">
        <f t="shared" si="15"/>
        <v>0.85</v>
      </c>
      <c r="Q15" s="85">
        <f t="shared" si="14"/>
        <v>73440000</v>
      </c>
      <c r="R15" s="65"/>
      <c r="S15" s="76">
        <f t="shared" si="8"/>
        <v>0</v>
      </c>
      <c r="T15" s="66">
        <v>0.1</v>
      </c>
      <c r="U15" s="66">
        <v>0.15</v>
      </c>
      <c r="V15" s="66">
        <f t="shared" si="9"/>
        <v>0.25</v>
      </c>
      <c r="W15" s="72">
        <f t="shared" si="10"/>
        <v>0.75</v>
      </c>
      <c r="X15" s="72">
        <v>0.1</v>
      </c>
      <c r="Y15" s="72">
        <f t="shared" si="11"/>
        <v>0.65</v>
      </c>
      <c r="Z15" s="75">
        <f t="shared" si="12"/>
        <v>56160000</v>
      </c>
      <c r="AA15" s="45" t="s">
        <v>13</v>
      </c>
      <c r="AB15" s="34" t="s">
        <v>18</v>
      </c>
    </row>
    <row r="16" spans="1:28" ht="18.75" customHeight="1" x14ac:dyDescent="0.45">
      <c r="A16" s="32" t="s">
        <v>21</v>
      </c>
      <c r="B16" s="21" t="s">
        <v>9</v>
      </c>
      <c r="C16" s="30">
        <v>9000000</v>
      </c>
      <c r="D16" s="26">
        <f t="shared" si="0"/>
        <v>9900000</v>
      </c>
      <c r="E16" s="17">
        <f t="shared" si="1"/>
        <v>158400000</v>
      </c>
      <c r="F16" s="27">
        <v>0.45</v>
      </c>
      <c r="G16" s="28">
        <f t="shared" si="2"/>
        <v>5445000</v>
      </c>
      <c r="H16" s="28">
        <f t="shared" si="3"/>
        <v>5400000</v>
      </c>
      <c r="I16" s="29">
        <f t="shared" si="4"/>
        <v>86400000</v>
      </c>
      <c r="J16" s="20">
        <f>J13</f>
        <v>16</v>
      </c>
      <c r="K16" s="80">
        <v>49307000</v>
      </c>
      <c r="L16" s="84">
        <f t="shared" si="5"/>
        <v>0.57068287037037035</v>
      </c>
      <c r="M16" s="84">
        <v>0.05</v>
      </c>
      <c r="N16" s="84">
        <f t="shared" si="6"/>
        <v>0.6206828703703704</v>
      </c>
      <c r="O16" s="95">
        <v>0.1</v>
      </c>
      <c r="P16" s="84">
        <f t="shared" si="15"/>
        <v>0.27931712962962962</v>
      </c>
      <c r="Q16" s="85">
        <f t="shared" si="14"/>
        <v>24133000</v>
      </c>
      <c r="R16" s="66">
        <v>0.39</v>
      </c>
      <c r="S16" s="76">
        <f t="shared" si="8"/>
        <v>33696000</v>
      </c>
      <c r="T16" s="66">
        <v>0.1</v>
      </c>
      <c r="U16" s="66">
        <v>0.15</v>
      </c>
      <c r="V16" s="66">
        <f t="shared" si="9"/>
        <v>0.64</v>
      </c>
      <c r="W16" s="72">
        <f t="shared" si="10"/>
        <v>0.36</v>
      </c>
      <c r="X16" s="72">
        <v>0.1</v>
      </c>
      <c r="Y16" s="72">
        <f t="shared" si="11"/>
        <v>0.26</v>
      </c>
      <c r="Z16" s="75">
        <f t="shared" si="12"/>
        <v>22464000</v>
      </c>
      <c r="AA16" s="45" t="s">
        <v>15</v>
      </c>
      <c r="AB16" s="34" t="s">
        <v>49</v>
      </c>
    </row>
    <row r="17" spans="1:28" ht="17.25" x14ac:dyDescent="0.45">
      <c r="A17" s="32" t="s">
        <v>22</v>
      </c>
      <c r="B17" s="21" t="s">
        <v>9</v>
      </c>
      <c r="C17" s="30">
        <v>10000000</v>
      </c>
      <c r="D17" s="26">
        <f t="shared" si="0"/>
        <v>11000000</v>
      </c>
      <c r="E17" s="17">
        <f t="shared" si="1"/>
        <v>176000000</v>
      </c>
      <c r="F17" s="27">
        <v>0.45</v>
      </c>
      <c r="G17" s="28">
        <f t="shared" si="2"/>
        <v>6050000</v>
      </c>
      <c r="H17" s="28">
        <f t="shared" si="3"/>
        <v>6100000</v>
      </c>
      <c r="I17" s="29">
        <f t="shared" si="4"/>
        <v>97600000</v>
      </c>
      <c r="J17" s="20">
        <f>J14</f>
        <v>16</v>
      </c>
      <c r="K17" s="80">
        <v>57170000</v>
      </c>
      <c r="L17" s="84">
        <f t="shared" si="5"/>
        <v>0.58575819672131146</v>
      </c>
      <c r="M17" s="84">
        <v>0.05</v>
      </c>
      <c r="N17" s="84">
        <f t="shared" si="6"/>
        <v>0.63575819672131151</v>
      </c>
      <c r="O17" s="95">
        <v>0.1</v>
      </c>
      <c r="P17" s="84">
        <f t="shared" si="15"/>
        <v>0.26424180327868851</v>
      </c>
      <c r="Q17" s="85">
        <f t="shared" si="14"/>
        <v>25790000</v>
      </c>
      <c r="R17" s="66">
        <v>0.41</v>
      </c>
      <c r="S17" s="76">
        <f t="shared" si="8"/>
        <v>40016000</v>
      </c>
      <c r="T17" s="66">
        <v>0.1</v>
      </c>
      <c r="U17" s="66">
        <v>0.15</v>
      </c>
      <c r="V17" s="66">
        <f t="shared" si="9"/>
        <v>0.66</v>
      </c>
      <c r="W17" s="72">
        <f t="shared" si="10"/>
        <v>0.33999999999999997</v>
      </c>
      <c r="X17" s="72">
        <v>0.1</v>
      </c>
      <c r="Y17" s="72">
        <f t="shared" si="11"/>
        <v>0.23999999999999996</v>
      </c>
      <c r="Z17" s="75">
        <f t="shared" si="12"/>
        <v>23423999.999999996</v>
      </c>
      <c r="AA17" s="45" t="s">
        <v>13</v>
      </c>
      <c r="AB17" s="34" t="s">
        <v>46</v>
      </c>
    </row>
    <row r="18" spans="1:28" ht="17.25" x14ac:dyDescent="0.45">
      <c r="A18" s="32" t="s">
        <v>24</v>
      </c>
      <c r="B18" s="21" t="s">
        <v>25</v>
      </c>
      <c r="C18" s="30">
        <v>11500000</v>
      </c>
      <c r="D18" s="26">
        <f t="shared" si="0"/>
        <v>12650000</v>
      </c>
      <c r="E18" s="17">
        <f t="shared" si="1"/>
        <v>202400000</v>
      </c>
      <c r="F18" s="27">
        <v>0.45</v>
      </c>
      <c r="G18" s="28">
        <f t="shared" si="2"/>
        <v>6957500</v>
      </c>
      <c r="H18" s="28">
        <f t="shared" si="3"/>
        <v>7000000</v>
      </c>
      <c r="I18" s="29">
        <f t="shared" si="4"/>
        <v>112000000</v>
      </c>
      <c r="J18" s="20">
        <f t="shared" si="13"/>
        <v>16</v>
      </c>
      <c r="K18" s="80">
        <v>61108000</v>
      </c>
      <c r="L18" s="84">
        <f t="shared" si="5"/>
        <v>0.54560714285714285</v>
      </c>
      <c r="M18" s="84">
        <v>0.05</v>
      </c>
      <c r="N18" s="84">
        <f t="shared" si="6"/>
        <v>0.59560714285714289</v>
      </c>
      <c r="O18" s="95">
        <v>0.1</v>
      </c>
      <c r="P18" s="84">
        <f t="shared" si="15"/>
        <v>0.30439285714285713</v>
      </c>
      <c r="Q18" s="85">
        <f t="shared" si="14"/>
        <v>34092000</v>
      </c>
      <c r="R18" s="66">
        <v>0.41</v>
      </c>
      <c r="S18" s="76">
        <f t="shared" si="8"/>
        <v>45920000</v>
      </c>
      <c r="T18" s="66">
        <v>0.1</v>
      </c>
      <c r="U18" s="66">
        <v>0.15</v>
      </c>
      <c r="V18" s="66">
        <f t="shared" si="9"/>
        <v>0.66</v>
      </c>
      <c r="W18" s="72">
        <f t="shared" si="10"/>
        <v>0.33999999999999997</v>
      </c>
      <c r="X18" s="72">
        <v>0.1</v>
      </c>
      <c r="Y18" s="72">
        <f t="shared" si="11"/>
        <v>0.23999999999999996</v>
      </c>
      <c r="Z18" s="75">
        <f t="shared" si="12"/>
        <v>26879999.999999996</v>
      </c>
      <c r="AA18" s="45" t="s">
        <v>26</v>
      </c>
      <c r="AB18" s="34" t="s">
        <v>23</v>
      </c>
    </row>
    <row r="19" spans="1:28" ht="17.25" x14ac:dyDescent="0.45">
      <c r="A19" s="32" t="s">
        <v>27</v>
      </c>
      <c r="B19" s="21" t="s">
        <v>28</v>
      </c>
      <c r="C19" s="26">
        <v>12000000</v>
      </c>
      <c r="D19" s="26">
        <f t="shared" si="0"/>
        <v>13200000</v>
      </c>
      <c r="E19" s="17">
        <f t="shared" si="1"/>
        <v>211200000</v>
      </c>
      <c r="F19" s="33">
        <v>0.5</v>
      </c>
      <c r="G19" s="28">
        <f t="shared" si="2"/>
        <v>6600000</v>
      </c>
      <c r="H19" s="28">
        <f t="shared" si="3"/>
        <v>6600000</v>
      </c>
      <c r="I19" s="29">
        <f t="shared" si="4"/>
        <v>105600000</v>
      </c>
      <c r="J19" s="20">
        <f t="shared" si="13"/>
        <v>16</v>
      </c>
      <c r="K19" s="80">
        <v>72158000</v>
      </c>
      <c r="L19" s="84">
        <f t="shared" si="5"/>
        <v>0.68331439393939397</v>
      </c>
      <c r="M19" s="84">
        <v>0.05</v>
      </c>
      <c r="N19" s="84">
        <f t="shared" si="6"/>
        <v>0.73331439393939402</v>
      </c>
      <c r="O19" s="95">
        <v>0.1</v>
      </c>
      <c r="P19" s="84">
        <f t="shared" si="15"/>
        <v>0.16668560606060601</v>
      </c>
      <c r="Q19" s="85">
        <f t="shared" si="14"/>
        <v>17601999.999999993</v>
      </c>
      <c r="R19" s="66">
        <v>0.9</v>
      </c>
      <c r="S19" s="76">
        <f t="shared" si="8"/>
        <v>95040000</v>
      </c>
      <c r="T19" s="66">
        <v>0.1</v>
      </c>
      <c r="U19" s="66">
        <v>0</v>
      </c>
      <c r="V19" s="66">
        <f t="shared" si="9"/>
        <v>1</v>
      </c>
      <c r="W19" s="72">
        <f t="shared" si="10"/>
        <v>0</v>
      </c>
      <c r="X19" s="72">
        <v>0.1</v>
      </c>
      <c r="Y19" s="72">
        <f t="shared" si="11"/>
        <v>-0.1</v>
      </c>
      <c r="Z19" s="75">
        <f t="shared" si="12"/>
        <v>-10560000</v>
      </c>
      <c r="AA19" s="45" t="s">
        <v>29</v>
      </c>
      <c r="AB19" s="34" t="s">
        <v>23</v>
      </c>
    </row>
    <row r="20" spans="1:28" ht="17.25" x14ac:dyDescent="0.45">
      <c r="A20" s="32" t="s">
        <v>30</v>
      </c>
      <c r="B20" s="21" t="s">
        <v>28</v>
      </c>
      <c r="C20" s="26">
        <v>14000000</v>
      </c>
      <c r="D20" s="26">
        <f t="shared" si="0"/>
        <v>15400000</v>
      </c>
      <c r="E20" s="17">
        <f t="shared" si="1"/>
        <v>246400000</v>
      </c>
      <c r="F20" s="33">
        <v>0.5</v>
      </c>
      <c r="G20" s="28">
        <f t="shared" si="2"/>
        <v>7700000</v>
      </c>
      <c r="H20" s="28">
        <f t="shared" si="3"/>
        <v>7700000</v>
      </c>
      <c r="I20" s="29">
        <f t="shared" si="4"/>
        <v>123200000</v>
      </c>
      <c r="J20" s="20">
        <f t="shared" si="13"/>
        <v>16</v>
      </c>
      <c r="K20" s="80">
        <v>80172000</v>
      </c>
      <c r="L20" s="84">
        <f t="shared" si="5"/>
        <v>0.65074675324675324</v>
      </c>
      <c r="M20" s="84">
        <v>0.05</v>
      </c>
      <c r="N20" s="84">
        <f t="shared" si="6"/>
        <v>0.70074675324675328</v>
      </c>
      <c r="O20" s="95">
        <v>0.1</v>
      </c>
      <c r="P20" s="84">
        <f t="shared" si="15"/>
        <v>0.19925324675324674</v>
      </c>
      <c r="Q20" s="85">
        <f t="shared" si="14"/>
        <v>24547999.999999996</v>
      </c>
      <c r="R20" s="66">
        <v>0.4</v>
      </c>
      <c r="S20" s="76">
        <f t="shared" si="8"/>
        <v>49280000</v>
      </c>
      <c r="T20" s="66">
        <v>0.1</v>
      </c>
      <c r="U20" s="66">
        <v>0.15</v>
      </c>
      <c r="V20" s="66">
        <f t="shared" si="9"/>
        <v>0.65</v>
      </c>
      <c r="W20" s="72">
        <f t="shared" si="10"/>
        <v>0.35</v>
      </c>
      <c r="X20" s="72">
        <v>0.1</v>
      </c>
      <c r="Y20" s="72">
        <f t="shared" si="11"/>
        <v>0.24999999999999997</v>
      </c>
      <c r="Z20" s="75">
        <f t="shared" si="12"/>
        <v>30799999.999999996</v>
      </c>
      <c r="AA20" s="45" t="s">
        <v>29</v>
      </c>
      <c r="AB20" s="34" t="s">
        <v>31</v>
      </c>
    </row>
    <row r="21" spans="1:28" ht="17.25" x14ac:dyDescent="0.45">
      <c r="A21" s="32" t="s">
        <v>48</v>
      </c>
      <c r="B21" s="21" t="s">
        <v>28</v>
      </c>
      <c r="C21" s="26">
        <v>20000000</v>
      </c>
      <c r="D21" s="26">
        <f>C21+(C21*10%)</f>
        <v>22000000</v>
      </c>
      <c r="E21" s="17">
        <f t="shared" si="1"/>
        <v>352000000</v>
      </c>
      <c r="F21" s="33">
        <v>0.56999999999999995</v>
      </c>
      <c r="G21" s="28">
        <f t="shared" si="2"/>
        <v>9460000.0000000019</v>
      </c>
      <c r="H21" s="28">
        <f t="shared" si="3"/>
        <v>9500000</v>
      </c>
      <c r="I21" s="29">
        <f t="shared" si="4"/>
        <v>152000000</v>
      </c>
      <c r="J21" s="20">
        <f t="shared" si="13"/>
        <v>16</v>
      </c>
      <c r="K21" s="80">
        <v>88048000</v>
      </c>
      <c r="L21" s="84">
        <f t="shared" si="5"/>
        <v>0.57926315789473681</v>
      </c>
      <c r="M21" s="84">
        <v>0.05</v>
      </c>
      <c r="N21" s="84">
        <f t="shared" si="6"/>
        <v>0.62926315789473686</v>
      </c>
      <c r="O21" s="95">
        <v>0.1</v>
      </c>
      <c r="P21" s="84">
        <f t="shared" si="15"/>
        <v>0.27073684210526316</v>
      </c>
      <c r="Q21" s="85">
        <f t="shared" si="14"/>
        <v>41152000</v>
      </c>
      <c r="R21" s="66">
        <v>0.31</v>
      </c>
      <c r="S21" s="76">
        <f t="shared" si="8"/>
        <v>47120000</v>
      </c>
      <c r="T21" s="66">
        <v>0.1</v>
      </c>
      <c r="U21" s="66">
        <v>0.15</v>
      </c>
      <c r="V21" s="66">
        <f t="shared" si="9"/>
        <v>0.56000000000000005</v>
      </c>
      <c r="W21" s="72">
        <f t="shared" si="10"/>
        <v>0.43999999999999995</v>
      </c>
      <c r="X21" s="72">
        <v>0.1</v>
      </c>
      <c r="Y21" s="72">
        <f t="shared" si="11"/>
        <v>0.33999999999999997</v>
      </c>
      <c r="Z21" s="75">
        <f t="shared" si="12"/>
        <v>51679999.999999993</v>
      </c>
      <c r="AA21" s="45" t="s">
        <v>29</v>
      </c>
      <c r="AB21" s="34" t="s">
        <v>31</v>
      </c>
    </row>
    <row r="22" spans="1:28" ht="17.25" x14ac:dyDescent="0.45">
      <c r="A22" s="5"/>
      <c r="B22" s="5"/>
      <c r="C22" s="6"/>
      <c r="D22" s="26">
        <f t="shared" si="0"/>
        <v>0</v>
      </c>
      <c r="E22" s="17"/>
      <c r="F22" s="3"/>
      <c r="G22" s="28">
        <f t="shared" si="2"/>
        <v>0</v>
      </c>
      <c r="H22" s="28">
        <f t="shared" si="3"/>
        <v>0</v>
      </c>
      <c r="I22" s="29">
        <f>H22*J22</f>
        <v>0</v>
      </c>
      <c r="J22" s="20"/>
      <c r="K22" s="65"/>
      <c r="L22" s="65"/>
      <c r="M22" s="65"/>
      <c r="N22" s="65"/>
      <c r="O22" s="65"/>
      <c r="P22" s="84"/>
      <c r="Q22" s="65"/>
      <c r="R22" s="20"/>
      <c r="S22" s="76"/>
      <c r="T22" s="20"/>
      <c r="U22" s="66"/>
      <c r="V22" s="66"/>
      <c r="W22" s="72"/>
      <c r="X22" s="72"/>
      <c r="Y22" s="72"/>
      <c r="Z22" s="75"/>
      <c r="AA22" s="4"/>
      <c r="AB22" s="4"/>
    </row>
    <row r="23" spans="1:28" ht="17.25" x14ac:dyDescent="0.45">
      <c r="A23" s="37" t="s">
        <v>32</v>
      </c>
      <c r="B23" s="38" t="s">
        <v>9</v>
      </c>
      <c r="C23" s="37">
        <v>8000000</v>
      </c>
      <c r="D23" s="39">
        <f t="shared" si="0"/>
        <v>8800000</v>
      </c>
      <c r="E23" s="40">
        <f t="shared" si="1"/>
        <v>140800000</v>
      </c>
      <c r="F23" s="41">
        <v>0.5</v>
      </c>
      <c r="G23" s="42">
        <f t="shared" si="2"/>
        <v>4400000</v>
      </c>
      <c r="H23" s="42">
        <f t="shared" si="3"/>
        <v>4400000</v>
      </c>
      <c r="I23" s="43">
        <f t="shared" si="4"/>
        <v>70400000</v>
      </c>
      <c r="J23" s="44">
        <f>J7</f>
        <v>16</v>
      </c>
      <c r="K23" s="81">
        <v>54408000</v>
      </c>
      <c r="L23" s="93">
        <f t="shared" ref="L23:L25" si="16">(K23/I23)*100%</f>
        <v>0.77284090909090908</v>
      </c>
      <c r="M23" s="93">
        <v>0.03</v>
      </c>
      <c r="N23" s="93">
        <f t="shared" ref="N23:N25" si="17">L23+M23</f>
        <v>0.80284090909090911</v>
      </c>
      <c r="O23" s="96"/>
      <c r="P23" s="93">
        <f t="shared" si="15"/>
        <v>0.19715909090909089</v>
      </c>
      <c r="Q23" s="94">
        <f t="shared" si="14"/>
        <v>13879999.999999998</v>
      </c>
      <c r="R23" s="67">
        <v>0.37</v>
      </c>
      <c r="S23" s="77">
        <f t="shared" si="8"/>
        <v>26048000</v>
      </c>
      <c r="T23" s="71">
        <v>0.1</v>
      </c>
      <c r="U23" s="71">
        <v>0.15</v>
      </c>
      <c r="V23" s="71">
        <f t="shared" si="9"/>
        <v>0.62</v>
      </c>
      <c r="W23" s="73">
        <f t="shared" si="10"/>
        <v>0.38</v>
      </c>
      <c r="X23" s="73"/>
      <c r="Y23" s="73"/>
      <c r="Z23" s="82">
        <f>I23*W23</f>
        <v>26752000</v>
      </c>
      <c r="AA23" s="37" t="s">
        <v>13</v>
      </c>
      <c r="AB23" s="37" t="s">
        <v>47</v>
      </c>
    </row>
    <row r="24" spans="1:28" ht="17.25" x14ac:dyDescent="0.45">
      <c r="A24" s="37" t="s">
        <v>34</v>
      </c>
      <c r="B24" s="38" t="s">
        <v>35</v>
      </c>
      <c r="C24" s="37">
        <v>10000000</v>
      </c>
      <c r="D24" s="39">
        <f t="shared" si="0"/>
        <v>11000000</v>
      </c>
      <c r="E24" s="40">
        <f t="shared" si="1"/>
        <v>176000000</v>
      </c>
      <c r="F24" s="41">
        <v>0.5</v>
      </c>
      <c r="G24" s="42">
        <f t="shared" si="2"/>
        <v>5500000</v>
      </c>
      <c r="H24" s="42">
        <f t="shared" si="3"/>
        <v>5500000</v>
      </c>
      <c r="I24" s="43">
        <f t="shared" si="4"/>
        <v>88000000</v>
      </c>
      <c r="J24" s="44">
        <f t="shared" ref="J24:J25" si="18">J8</f>
        <v>16</v>
      </c>
      <c r="K24" s="81">
        <v>60972000</v>
      </c>
      <c r="L24" s="93">
        <f t="shared" si="16"/>
        <v>0.69286363636363635</v>
      </c>
      <c r="M24" s="93">
        <v>0.03</v>
      </c>
      <c r="N24" s="93">
        <f t="shared" si="17"/>
        <v>0.72286363636363637</v>
      </c>
      <c r="O24" s="96"/>
      <c r="P24" s="93">
        <f t="shared" si="15"/>
        <v>0.27713636363636363</v>
      </c>
      <c r="Q24" s="94">
        <f t="shared" si="14"/>
        <v>24388000</v>
      </c>
      <c r="R24" s="67">
        <v>0.32</v>
      </c>
      <c r="S24" s="77">
        <f t="shared" si="8"/>
        <v>28160000</v>
      </c>
      <c r="T24" s="71">
        <v>0.1</v>
      </c>
      <c r="U24" s="71">
        <v>0.15</v>
      </c>
      <c r="V24" s="71">
        <f t="shared" si="9"/>
        <v>0.57000000000000006</v>
      </c>
      <c r="W24" s="73">
        <f t="shared" si="10"/>
        <v>0.42999999999999994</v>
      </c>
      <c r="X24" s="73"/>
      <c r="Y24" s="73"/>
      <c r="Z24" s="82">
        <f>I24*W24</f>
        <v>37839999.999999993</v>
      </c>
      <c r="AA24" s="37" t="s">
        <v>13</v>
      </c>
      <c r="AB24" s="37" t="s">
        <v>33</v>
      </c>
    </row>
    <row r="25" spans="1:28" ht="17.25" x14ac:dyDescent="0.45">
      <c r="A25" s="37" t="s">
        <v>51</v>
      </c>
      <c r="B25" s="38" t="s">
        <v>9</v>
      </c>
      <c r="C25" s="37">
        <v>15000000</v>
      </c>
      <c r="D25" s="39">
        <f t="shared" si="0"/>
        <v>16500000</v>
      </c>
      <c r="E25" s="40">
        <f t="shared" si="1"/>
        <v>264000000</v>
      </c>
      <c r="F25" s="41">
        <v>0.5</v>
      </c>
      <c r="G25" s="42">
        <f t="shared" si="2"/>
        <v>8250000</v>
      </c>
      <c r="H25" s="42">
        <f t="shared" si="3"/>
        <v>8300000</v>
      </c>
      <c r="I25" s="43">
        <f t="shared" si="4"/>
        <v>132800000</v>
      </c>
      <c r="J25" s="44">
        <f t="shared" si="18"/>
        <v>16</v>
      </c>
      <c r="K25" s="81">
        <v>78038000</v>
      </c>
      <c r="L25" s="93">
        <f t="shared" si="16"/>
        <v>0.58763554216867475</v>
      </c>
      <c r="M25" s="93">
        <v>0.03</v>
      </c>
      <c r="N25" s="93">
        <f t="shared" si="17"/>
        <v>0.61763554216867478</v>
      </c>
      <c r="O25" s="96"/>
      <c r="P25" s="93">
        <f t="shared" si="15"/>
        <v>0.38236445783132522</v>
      </c>
      <c r="Q25" s="94">
        <f t="shared" si="14"/>
        <v>50777999.999999993</v>
      </c>
      <c r="R25" s="67">
        <v>0.25</v>
      </c>
      <c r="S25" s="77">
        <f t="shared" si="8"/>
        <v>33200000</v>
      </c>
      <c r="T25" s="71">
        <v>0.1</v>
      </c>
      <c r="U25" s="71">
        <v>0.15</v>
      </c>
      <c r="V25" s="71">
        <f t="shared" si="9"/>
        <v>0.5</v>
      </c>
      <c r="W25" s="73">
        <f t="shared" si="10"/>
        <v>0.5</v>
      </c>
      <c r="X25" s="73"/>
      <c r="Y25" s="73"/>
      <c r="Z25" s="82">
        <f>I25*W25</f>
        <v>66400000</v>
      </c>
      <c r="AA25" s="37" t="s">
        <v>13</v>
      </c>
      <c r="AB25" s="37" t="s">
        <v>33</v>
      </c>
    </row>
    <row r="26" spans="1:28" x14ac:dyDescent="0.4">
      <c r="E26" s="17">
        <f t="shared" si="1"/>
        <v>0</v>
      </c>
      <c r="I26" s="8"/>
    </row>
    <row r="27" spans="1:28" x14ac:dyDescent="0.4">
      <c r="I27" s="8"/>
    </row>
    <row r="67" spans="1:1" x14ac:dyDescent="0.4">
      <c r="A67" s="7" t="s">
        <v>38</v>
      </c>
    </row>
    <row r="68" spans="1:1" x14ac:dyDescent="0.4">
      <c r="A68" s="1" t="s">
        <v>39</v>
      </c>
    </row>
    <row r="69" spans="1:1" x14ac:dyDescent="0.4">
      <c r="A69" s="1" t="s">
        <v>40</v>
      </c>
    </row>
  </sheetData>
  <mergeCells count="1">
    <mergeCell ref="A6:J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5"/>
  <sheetViews>
    <sheetView showGridLines="0" topLeftCell="A9" zoomScaleNormal="100" workbookViewId="0">
      <selection activeCell="A13" sqref="A13"/>
    </sheetView>
  </sheetViews>
  <sheetFormatPr defaultColWidth="9.25" defaultRowHeight="13.5" x14ac:dyDescent="0.35"/>
  <cols>
    <col min="1" max="1" width="29.875" style="11" customWidth="1"/>
    <col min="2" max="2" width="8.375" style="11" customWidth="1"/>
    <col min="3" max="4" width="16" style="11" customWidth="1"/>
    <col min="5" max="5" width="18.5" style="11" customWidth="1"/>
    <col min="6" max="6" width="10.375" style="11" customWidth="1"/>
    <col min="7" max="7" width="20.4375" style="11" hidden="1" customWidth="1"/>
    <col min="8" max="8" width="18.125" style="11" customWidth="1"/>
    <col min="9" max="9" width="18.75" style="11" customWidth="1"/>
    <col min="10" max="10" width="10" style="11" customWidth="1"/>
    <col min="11" max="11" width="13.9375" style="87" customWidth="1"/>
    <col min="12" max="12" width="13.9375" style="90" customWidth="1"/>
    <col min="13" max="13" width="13.9375" style="11" customWidth="1"/>
    <col min="14" max="14" width="11.9375" style="11" customWidth="1"/>
    <col min="15" max="17" width="13.9375" style="11" customWidth="1"/>
    <col min="18" max="18" width="10" style="11" hidden="1" customWidth="1"/>
    <col min="19" max="19" width="13.0625" style="11" hidden="1" customWidth="1"/>
    <col min="20" max="25" width="10" style="11" hidden="1" customWidth="1"/>
    <col min="26" max="26" width="14.9375" style="11" hidden="1" customWidth="1"/>
    <col min="27" max="27" width="9.5" style="11" customWidth="1"/>
    <col min="28" max="28" width="35.25" style="11" customWidth="1"/>
    <col min="29" max="31" width="19.875" style="11" customWidth="1"/>
    <col min="32" max="32" width="9.25" style="11" customWidth="1"/>
    <col min="33" max="16384" width="9.25" style="11"/>
  </cols>
  <sheetData>
    <row r="1" spans="1:28" x14ac:dyDescent="0.35">
      <c r="A1" s="98"/>
      <c r="B1" s="98"/>
      <c r="C1" s="98"/>
      <c r="D1" s="98"/>
      <c r="E1" s="98"/>
      <c r="F1" s="98"/>
      <c r="G1" s="98"/>
      <c r="H1" s="98"/>
      <c r="I1" s="98"/>
    </row>
    <row r="2" spans="1:28" x14ac:dyDescent="0.35">
      <c r="A2" s="98"/>
      <c r="B2" s="98"/>
      <c r="C2" s="98"/>
      <c r="D2" s="98"/>
      <c r="E2" s="98"/>
      <c r="F2" s="98"/>
      <c r="G2" s="98"/>
      <c r="H2" s="98"/>
      <c r="I2" s="98"/>
    </row>
    <row r="3" spans="1:28" x14ac:dyDescent="0.35">
      <c r="A3" s="98"/>
      <c r="B3" s="98"/>
      <c r="C3" s="98"/>
      <c r="D3" s="98"/>
      <c r="E3" s="98"/>
      <c r="F3" s="98"/>
      <c r="G3" s="98"/>
      <c r="H3" s="98"/>
      <c r="I3" s="98"/>
    </row>
    <row r="6" spans="1:28" s="10" customFormat="1" ht="15" x14ac:dyDescent="0.4">
      <c r="A6" s="97" t="s">
        <v>42</v>
      </c>
      <c r="B6" s="97"/>
      <c r="C6" s="97"/>
      <c r="D6" s="97"/>
      <c r="E6" s="97"/>
      <c r="F6" s="97"/>
      <c r="G6" s="97"/>
      <c r="H6" s="97"/>
      <c r="I6" s="97"/>
      <c r="J6" s="97"/>
      <c r="K6" s="88"/>
      <c r="L6" s="91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8" s="10" customFormat="1" ht="54" x14ac:dyDescent="0.4">
      <c r="A7" s="12" t="s">
        <v>1</v>
      </c>
      <c r="B7" s="12" t="s">
        <v>2</v>
      </c>
      <c r="C7" s="13" t="s">
        <v>3</v>
      </c>
      <c r="D7" s="86" t="s">
        <v>66</v>
      </c>
      <c r="E7" s="86" t="s">
        <v>73</v>
      </c>
      <c r="F7" s="14" t="s">
        <v>4</v>
      </c>
      <c r="G7" s="15" t="s">
        <v>5</v>
      </c>
      <c r="H7" s="15" t="s">
        <v>5</v>
      </c>
      <c r="I7" s="13" t="s">
        <v>68</v>
      </c>
      <c r="J7" s="24">
        <v>10</v>
      </c>
      <c r="K7" s="89" t="s">
        <v>63</v>
      </c>
      <c r="L7" s="92" t="s">
        <v>64</v>
      </c>
      <c r="M7" s="83" t="s">
        <v>67</v>
      </c>
      <c r="N7" s="83" t="s">
        <v>57</v>
      </c>
      <c r="O7" s="83" t="s">
        <v>70</v>
      </c>
      <c r="P7" s="83" t="s">
        <v>65</v>
      </c>
      <c r="Q7" s="83" t="s">
        <v>62</v>
      </c>
      <c r="R7" s="68" t="s">
        <v>54</v>
      </c>
      <c r="S7" s="68" t="s">
        <v>61</v>
      </c>
      <c r="T7" s="68" t="s">
        <v>55</v>
      </c>
      <c r="U7" s="68" t="s">
        <v>56</v>
      </c>
      <c r="V7" s="68" t="s">
        <v>57</v>
      </c>
      <c r="W7" s="74" t="s">
        <v>58</v>
      </c>
      <c r="X7" s="74" t="s">
        <v>7</v>
      </c>
      <c r="Y7" s="74" t="s">
        <v>59</v>
      </c>
      <c r="Z7" s="74" t="s">
        <v>62</v>
      </c>
      <c r="AA7" s="9" t="s">
        <v>6</v>
      </c>
      <c r="AB7" s="2" t="s">
        <v>7</v>
      </c>
    </row>
    <row r="8" spans="1:28" s="10" customFormat="1" ht="17.25" x14ac:dyDescent="0.45">
      <c r="A8" s="31" t="s">
        <v>8</v>
      </c>
      <c r="B8" s="16" t="s">
        <v>9</v>
      </c>
      <c r="C8" s="17">
        <v>2500000</v>
      </c>
      <c r="D8" s="17">
        <f>C8+(C8*10%)</f>
        <v>2750000</v>
      </c>
      <c r="E8" s="17">
        <f>D8*J8</f>
        <v>27500000</v>
      </c>
      <c r="F8" s="18">
        <v>0.25</v>
      </c>
      <c r="G8" s="19">
        <f>D8-(D8*F8)</f>
        <v>2062500</v>
      </c>
      <c r="H8" s="19">
        <f>ROUND(VALUE(G8),-5)</f>
        <v>2100000</v>
      </c>
      <c r="I8" s="25">
        <f>H8*J8</f>
        <v>21000000</v>
      </c>
      <c r="J8" s="20">
        <f t="shared" ref="J8:J21" si="0">J7</f>
        <v>10</v>
      </c>
      <c r="K8" s="80">
        <v>20340000</v>
      </c>
      <c r="L8" s="84">
        <f>(K8/I8)*100%</f>
        <v>0.96857142857142853</v>
      </c>
      <c r="M8" s="84">
        <v>0.05</v>
      </c>
      <c r="N8" s="84">
        <f>L8+M8</f>
        <v>1.0185714285714285</v>
      </c>
      <c r="O8" s="84"/>
      <c r="P8" s="84">
        <f>100%-N8</f>
        <v>-1.8571428571428461E-2</v>
      </c>
      <c r="Q8" s="85">
        <f>P8*I8</f>
        <v>-389999.99999999767</v>
      </c>
      <c r="R8" s="66">
        <v>0.66</v>
      </c>
      <c r="S8" s="76">
        <f t="shared" ref="S8:S21" si="1">I8*R8</f>
        <v>13860000</v>
      </c>
      <c r="T8" s="66">
        <v>0.1</v>
      </c>
      <c r="U8" s="66">
        <v>0.15</v>
      </c>
      <c r="V8" s="66">
        <f>R8+T8+U8</f>
        <v>0.91</v>
      </c>
      <c r="W8" s="72">
        <f>100%-V8</f>
        <v>8.9999999999999969E-2</v>
      </c>
      <c r="X8" s="72"/>
      <c r="Y8" s="72">
        <f>W8-X8</f>
        <v>8.9999999999999969E-2</v>
      </c>
      <c r="Z8" s="75">
        <f t="shared" ref="Z8:Z21" si="2">I8*Y8</f>
        <v>1889999.9999999993</v>
      </c>
      <c r="AA8" s="46" t="s">
        <v>10</v>
      </c>
      <c r="AB8" s="34" t="s">
        <v>11</v>
      </c>
    </row>
    <row r="9" spans="1:28" s="10" customFormat="1" ht="17.25" x14ac:dyDescent="0.45">
      <c r="A9" s="32" t="s">
        <v>12</v>
      </c>
      <c r="B9" s="21" t="s">
        <v>9</v>
      </c>
      <c r="C9" s="22">
        <v>3500000</v>
      </c>
      <c r="D9" s="17">
        <f t="shared" ref="D9:D25" si="3">C9+(C9*10%)</f>
        <v>3850000</v>
      </c>
      <c r="E9" s="17">
        <f t="shared" ref="E9:E25" si="4">D9*J9</f>
        <v>38500000</v>
      </c>
      <c r="F9" s="18">
        <v>0.25</v>
      </c>
      <c r="G9" s="19">
        <f t="shared" ref="G9:G25" si="5">D9-(D9*F9)</f>
        <v>2887500</v>
      </c>
      <c r="H9" s="19">
        <f t="shared" ref="H9:H25" si="6">ROUND(VALUE(G9),-5)</f>
        <v>2900000</v>
      </c>
      <c r="I9" s="25">
        <f t="shared" ref="I9:I25" si="7">H9*J9</f>
        <v>29000000</v>
      </c>
      <c r="J9" s="20">
        <f t="shared" si="0"/>
        <v>10</v>
      </c>
      <c r="K9" s="80">
        <v>24528000</v>
      </c>
      <c r="L9" s="84">
        <f t="shared" ref="L9:L21" si="8">(K9/I9)*100%</f>
        <v>0.84579310344827585</v>
      </c>
      <c r="M9" s="84">
        <v>0.05</v>
      </c>
      <c r="N9" s="84">
        <f t="shared" ref="N9:N21" si="9">L9+M9</f>
        <v>0.8957931034482759</v>
      </c>
      <c r="O9" s="84"/>
      <c r="P9" s="84">
        <f t="shared" ref="P9:P12" si="10">100%-N9</f>
        <v>0.1042068965517241</v>
      </c>
      <c r="Q9" s="85">
        <f>P9*I9</f>
        <v>3021999.9999999991</v>
      </c>
      <c r="R9" s="66">
        <v>0.59</v>
      </c>
      <c r="S9" s="76">
        <f t="shared" si="1"/>
        <v>17110000</v>
      </c>
      <c r="T9" s="66">
        <v>0.1</v>
      </c>
      <c r="U9" s="66">
        <v>0.15</v>
      </c>
      <c r="V9" s="66">
        <f t="shared" ref="V9:V25" si="11">R9+T9+U9</f>
        <v>0.84</v>
      </c>
      <c r="W9" s="72">
        <f t="shared" ref="W9:W25" si="12">100%-V9</f>
        <v>0.16000000000000003</v>
      </c>
      <c r="X9" s="72"/>
      <c r="Y9" s="72">
        <f t="shared" ref="Y9:Y21" si="13">W9-X9</f>
        <v>0.16000000000000003</v>
      </c>
      <c r="Z9" s="75">
        <f t="shared" si="2"/>
        <v>4640000.0000000009</v>
      </c>
      <c r="AA9" s="46" t="s">
        <v>13</v>
      </c>
      <c r="AB9" s="34" t="s">
        <v>11</v>
      </c>
    </row>
    <row r="10" spans="1:28" s="10" customFormat="1" ht="17.25" x14ac:dyDescent="0.45">
      <c r="A10" s="32" t="s">
        <v>14</v>
      </c>
      <c r="B10" s="21" t="s">
        <v>9</v>
      </c>
      <c r="C10" s="22">
        <v>4000000</v>
      </c>
      <c r="D10" s="17">
        <f t="shared" si="3"/>
        <v>4400000</v>
      </c>
      <c r="E10" s="17">
        <f t="shared" si="4"/>
        <v>44000000</v>
      </c>
      <c r="F10" s="18">
        <v>0.25</v>
      </c>
      <c r="G10" s="19">
        <f t="shared" si="5"/>
        <v>3300000</v>
      </c>
      <c r="H10" s="19">
        <f t="shared" si="6"/>
        <v>3300000</v>
      </c>
      <c r="I10" s="25">
        <f t="shared" si="7"/>
        <v>33000000</v>
      </c>
      <c r="J10" s="20">
        <f t="shared" si="0"/>
        <v>10</v>
      </c>
      <c r="K10" s="80">
        <v>27622000</v>
      </c>
      <c r="L10" s="84">
        <f t="shared" si="8"/>
        <v>0.83703030303030301</v>
      </c>
      <c r="M10" s="84">
        <v>0.05</v>
      </c>
      <c r="N10" s="84">
        <f t="shared" si="9"/>
        <v>0.88703030303030306</v>
      </c>
      <c r="O10" s="84"/>
      <c r="P10" s="84">
        <f t="shared" si="10"/>
        <v>0.11296969696969694</v>
      </c>
      <c r="Q10" s="85">
        <f>P10*I10</f>
        <v>3727999.9999999991</v>
      </c>
      <c r="R10" s="66">
        <v>0.59</v>
      </c>
      <c r="S10" s="76">
        <f t="shared" si="1"/>
        <v>19470000</v>
      </c>
      <c r="T10" s="66">
        <v>0.1</v>
      </c>
      <c r="U10" s="66">
        <v>0.15</v>
      </c>
      <c r="V10" s="66">
        <f t="shared" si="11"/>
        <v>0.84</v>
      </c>
      <c r="W10" s="72">
        <f t="shared" si="12"/>
        <v>0.16000000000000003</v>
      </c>
      <c r="X10" s="72"/>
      <c r="Y10" s="72">
        <f t="shared" si="13"/>
        <v>0.16000000000000003</v>
      </c>
      <c r="Z10" s="75">
        <f t="shared" si="2"/>
        <v>5280000.0000000009</v>
      </c>
      <c r="AA10" s="46" t="s">
        <v>15</v>
      </c>
      <c r="AB10" s="34" t="s">
        <v>16</v>
      </c>
    </row>
    <row r="11" spans="1:28" s="10" customFormat="1" ht="17.25" x14ac:dyDescent="0.45">
      <c r="A11" s="32" t="s">
        <v>43</v>
      </c>
      <c r="B11" s="21" t="s">
        <v>25</v>
      </c>
      <c r="C11" s="30">
        <v>6000000</v>
      </c>
      <c r="D11" s="17">
        <f t="shared" si="3"/>
        <v>6600000</v>
      </c>
      <c r="E11" s="17">
        <f t="shared" si="4"/>
        <v>66000000</v>
      </c>
      <c r="F11" s="18">
        <v>0.25</v>
      </c>
      <c r="G11" s="19">
        <f t="shared" si="5"/>
        <v>4950000</v>
      </c>
      <c r="H11" s="19">
        <f t="shared" si="6"/>
        <v>5000000</v>
      </c>
      <c r="I11" s="25">
        <f t="shared" si="7"/>
        <v>50000000</v>
      </c>
      <c r="J11" s="20">
        <v>10</v>
      </c>
      <c r="K11" s="76">
        <v>33271000</v>
      </c>
      <c r="L11" s="84">
        <f t="shared" si="8"/>
        <v>0.66542000000000001</v>
      </c>
      <c r="M11" s="84">
        <v>0.05</v>
      </c>
      <c r="N11" s="84">
        <f t="shared" si="9"/>
        <v>0.71542000000000006</v>
      </c>
      <c r="O11" s="84"/>
      <c r="P11" s="84">
        <f t="shared" si="10"/>
        <v>0.28457999999999994</v>
      </c>
      <c r="Q11" s="85">
        <f>P11*I11</f>
        <v>14228999.999999996</v>
      </c>
      <c r="R11" s="66">
        <v>0.45</v>
      </c>
      <c r="S11" s="76">
        <f t="shared" si="1"/>
        <v>22500000</v>
      </c>
      <c r="T11" s="66">
        <v>0.1</v>
      </c>
      <c r="U11" s="66">
        <v>0.15</v>
      </c>
      <c r="V11" s="66">
        <f t="shared" si="11"/>
        <v>0.70000000000000007</v>
      </c>
      <c r="W11" s="72">
        <f t="shared" si="12"/>
        <v>0.29999999999999993</v>
      </c>
      <c r="X11" s="72"/>
      <c r="Y11" s="72">
        <f t="shared" si="13"/>
        <v>0.29999999999999993</v>
      </c>
      <c r="Z11" s="75">
        <f t="shared" si="2"/>
        <v>14999999.999999996</v>
      </c>
      <c r="AA11" s="45" t="s">
        <v>13</v>
      </c>
      <c r="AB11" s="34" t="s">
        <v>44</v>
      </c>
    </row>
    <row r="12" spans="1:28" s="10" customFormat="1" ht="17.25" x14ac:dyDescent="0.45">
      <c r="A12" s="32" t="s">
        <v>17</v>
      </c>
      <c r="B12" s="21" t="s">
        <v>9</v>
      </c>
      <c r="C12" s="22">
        <v>6000000</v>
      </c>
      <c r="D12" s="17">
        <f t="shared" si="3"/>
        <v>6600000</v>
      </c>
      <c r="E12" s="17">
        <f t="shared" si="4"/>
        <v>66000000</v>
      </c>
      <c r="F12" s="18">
        <v>0.25</v>
      </c>
      <c r="G12" s="19">
        <f t="shared" si="5"/>
        <v>4950000</v>
      </c>
      <c r="H12" s="19">
        <f t="shared" si="6"/>
        <v>5000000</v>
      </c>
      <c r="I12" s="25">
        <f t="shared" si="7"/>
        <v>50000000</v>
      </c>
      <c r="J12" s="20">
        <f>J10</f>
        <v>10</v>
      </c>
      <c r="K12" s="80"/>
      <c r="L12" s="84">
        <f t="shared" si="8"/>
        <v>0</v>
      </c>
      <c r="M12" s="84">
        <v>0.05</v>
      </c>
      <c r="N12" s="84">
        <f t="shared" si="9"/>
        <v>0.05</v>
      </c>
      <c r="O12" s="84"/>
      <c r="P12" s="84">
        <f t="shared" si="10"/>
        <v>0.95</v>
      </c>
      <c r="Q12" s="85">
        <f t="shared" ref="Q12:Q25" si="14">P12*I12</f>
        <v>47500000</v>
      </c>
      <c r="R12" s="65"/>
      <c r="S12" s="76">
        <f t="shared" si="1"/>
        <v>0</v>
      </c>
      <c r="T12" s="66">
        <v>0.1</v>
      </c>
      <c r="U12" s="66">
        <v>0.15</v>
      </c>
      <c r="V12" s="66">
        <f t="shared" si="11"/>
        <v>0.25</v>
      </c>
      <c r="W12" s="72">
        <f t="shared" si="12"/>
        <v>0.75</v>
      </c>
      <c r="X12" s="72"/>
      <c r="Y12" s="72">
        <f t="shared" si="13"/>
        <v>0.75</v>
      </c>
      <c r="Z12" s="75">
        <f t="shared" si="2"/>
        <v>37500000</v>
      </c>
      <c r="AA12" s="46" t="s">
        <v>15</v>
      </c>
      <c r="AB12" s="34" t="s">
        <v>18</v>
      </c>
    </row>
    <row r="13" spans="1:28" s="10" customFormat="1" ht="17.25" x14ac:dyDescent="0.45">
      <c r="A13" s="32" t="s">
        <v>19</v>
      </c>
      <c r="B13" s="21" t="s">
        <v>9</v>
      </c>
      <c r="C13" s="22">
        <v>7500000</v>
      </c>
      <c r="D13" s="17">
        <f t="shared" si="3"/>
        <v>8250000</v>
      </c>
      <c r="E13" s="17">
        <f t="shared" si="4"/>
        <v>82500000</v>
      </c>
      <c r="F13" s="18">
        <v>0.25</v>
      </c>
      <c r="G13" s="19">
        <f t="shared" si="5"/>
        <v>6187500</v>
      </c>
      <c r="H13" s="19">
        <f t="shared" si="6"/>
        <v>6200000</v>
      </c>
      <c r="I13" s="25">
        <f t="shared" si="7"/>
        <v>62000000</v>
      </c>
      <c r="J13" s="20">
        <f t="shared" si="0"/>
        <v>10</v>
      </c>
      <c r="K13" s="80">
        <v>35553000</v>
      </c>
      <c r="L13" s="84">
        <f t="shared" si="8"/>
        <v>0.57343548387096777</v>
      </c>
      <c r="M13" s="84">
        <v>0.05</v>
      </c>
      <c r="N13" s="84">
        <f t="shared" si="9"/>
        <v>0.62343548387096781</v>
      </c>
      <c r="O13" s="95">
        <v>0.1</v>
      </c>
      <c r="P13" s="84">
        <f>100%-(N13+O13)</f>
        <v>0.27656451612903221</v>
      </c>
      <c r="Q13" s="85">
        <f t="shared" si="14"/>
        <v>17146999.999999996</v>
      </c>
      <c r="R13" s="66">
        <v>0.37</v>
      </c>
      <c r="S13" s="76">
        <f t="shared" si="1"/>
        <v>22940000</v>
      </c>
      <c r="T13" s="66">
        <v>0.1</v>
      </c>
      <c r="U13" s="66">
        <v>0.15</v>
      </c>
      <c r="V13" s="66">
        <f t="shared" si="11"/>
        <v>0.62</v>
      </c>
      <c r="W13" s="72">
        <f t="shared" si="12"/>
        <v>0.38</v>
      </c>
      <c r="X13" s="72">
        <v>0.1</v>
      </c>
      <c r="Y13" s="72">
        <f t="shared" si="13"/>
        <v>0.28000000000000003</v>
      </c>
      <c r="Z13" s="75">
        <f t="shared" si="2"/>
        <v>17360000</v>
      </c>
      <c r="AA13" s="46" t="s">
        <v>13</v>
      </c>
      <c r="AB13" s="34" t="s">
        <v>16</v>
      </c>
    </row>
    <row r="14" spans="1:28" s="10" customFormat="1" ht="17.25" x14ac:dyDescent="0.45">
      <c r="A14" s="32" t="s">
        <v>20</v>
      </c>
      <c r="B14" s="21" t="s">
        <v>9</v>
      </c>
      <c r="C14" s="22">
        <v>8500000</v>
      </c>
      <c r="D14" s="17">
        <f t="shared" si="3"/>
        <v>9350000</v>
      </c>
      <c r="E14" s="17">
        <f t="shared" si="4"/>
        <v>93500000</v>
      </c>
      <c r="F14" s="18">
        <v>0.25</v>
      </c>
      <c r="G14" s="19">
        <f t="shared" si="5"/>
        <v>7012500</v>
      </c>
      <c r="H14" s="19">
        <f t="shared" si="6"/>
        <v>7000000</v>
      </c>
      <c r="I14" s="25">
        <f t="shared" si="7"/>
        <v>70000000</v>
      </c>
      <c r="J14" s="20">
        <f t="shared" si="0"/>
        <v>10</v>
      </c>
      <c r="K14" s="80">
        <v>37741000</v>
      </c>
      <c r="L14" s="84">
        <f t="shared" si="8"/>
        <v>0.53915714285714289</v>
      </c>
      <c r="M14" s="84">
        <v>0.05</v>
      </c>
      <c r="N14" s="84">
        <f t="shared" si="9"/>
        <v>0.58915714285714293</v>
      </c>
      <c r="O14" s="95">
        <v>0.1</v>
      </c>
      <c r="P14" s="84">
        <f t="shared" ref="P14:P25" si="15">100%-(N14+O14)</f>
        <v>0.31084285714285709</v>
      </c>
      <c r="Q14" s="85">
        <f t="shared" si="14"/>
        <v>21758999.999999996</v>
      </c>
      <c r="R14" s="66">
        <v>0.36</v>
      </c>
      <c r="S14" s="76">
        <f t="shared" si="1"/>
        <v>25200000</v>
      </c>
      <c r="T14" s="66">
        <v>0.1</v>
      </c>
      <c r="U14" s="66">
        <v>0.15</v>
      </c>
      <c r="V14" s="66">
        <f t="shared" si="11"/>
        <v>0.61</v>
      </c>
      <c r="W14" s="72">
        <f t="shared" si="12"/>
        <v>0.39</v>
      </c>
      <c r="X14" s="72">
        <v>0.1</v>
      </c>
      <c r="Y14" s="72">
        <f t="shared" si="13"/>
        <v>0.29000000000000004</v>
      </c>
      <c r="Z14" s="75">
        <f t="shared" si="2"/>
        <v>20300000.000000004</v>
      </c>
      <c r="AA14" s="46" t="s">
        <v>13</v>
      </c>
      <c r="AB14" s="34" t="s">
        <v>18</v>
      </c>
    </row>
    <row r="15" spans="1:28" s="10" customFormat="1" ht="17.25" x14ac:dyDescent="0.45">
      <c r="A15" s="32" t="s">
        <v>45</v>
      </c>
      <c r="B15" s="21" t="s">
        <v>25</v>
      </c>
      <c r="C15" s="30">
        <f>9000000</f>
        <v>9000000</v>
      </c>
      <c r="D15" s="17">
        <f t="shared" si="3"/>
        <v>9900000</v>
      </c>
      <c r="E15" s="17">
        <f t="shared" si="4"/>
        <v>99000000</v>
      </c>
      <c r="F15" s="18">
        <v>0.25</v>
      </c>
      <c r="G15" s="19">
        <f t="shared" si="5"/>
        <v>7425000</v>
      </c>
      <c r="H15" s="19">
        <f t="shared" si="6"/>
        <v>7400000</v>
      </c>
      <c r="I15" s="25">
        <f t="shared" si="7"/>
        <v>74000000</v>
      </c>
      <c r="J15" s="20">
        <v>10</v>
      </c>
      <c r="K15" s="76"/>
      <c r="L15" s="84">
        <f t="shared" si="8"/>
        <v>0</v>
      </c>
      <c r="M15" s="84">
        <v>0.05</v>
      </c>
      <c r="N15" s="84">
        <f t="shared" si="9"/>
        <v>0.05</v>
      </c>
      <c r="O15" s="95">
        <v>0.1</v>
      </c>
      <c r="P15" s="84">
        <f t="shared" si="15"/>
        <v>0.85</v>
      </c>
      <c r="Q15" s="85">
        <f t="shared" si="14"/>
        <v>62900000</v>
      </c>
      <c r="R15" s="65"/>
      <c r="S15" s="76">
        <f t="shared" si="1"/>
        <v>0</v>
      </c>
      <c r="T15" s="66">
        <v>0.1</v>
      </c>
      <c r="U15" s="66">
        <v>0.15</v>
      </c>
      <c r="V15" s="66">
        <f t="shared" si="11"/>
        <v>0.25</v>
      </c>
      <c r="W15" s="72">
        <f t="shared" si="12"/>
        <v>0.75</v>
      </c>
      <c r="X15" s="72">
        <v>0.1</v>
      </c>
      <c r="Y15" s="72">
        <f t="shared" si="13"/>
        <v>0.65</v>
      </c>
      <c r="Z15" s="75">
        <f t="shared" si="2"/>
        <v>48100000</v>
      </c>
      <c r="AA15" s="45" t="s">
        <v>13</v>
      </c>
      <c r="AB15" s="34" t="s">
        <v>18</v>
      </c>
    </row>
    <row r="16" spans="1:28" s="10" customFormat="1" ht="17.25" x14ac:dyDescent="0.45">
      <c r="A16" s="32" t="s">
        <v>21</v>
      </c>
      <c r="B16" s="21" t="s">
        <v>9</v>
      </c>
      <c r="C16" s="22">
        <v>9000000</v>
      </c>
      <c r="D16" s="17">
        <f t="shared" si="3"/>
        <v>9900000</v>
      </c>
      <c r="E16" s="17">
        <f t="shared" si="4"/>
        <v>99000000</v>
      </c>
      <c r="F16" s="18">
        <v>0.25</v>
      </c>
      <c r="G16" s="19">
        <f t="shared" si="5"/>
        <v>7425000</v>
      </c>
      <c r="H16" s="19">
        <f t="shared" si="6"/>
        <v>7400000</v>
      </c>
      <c r="I16" s="25">
        <f t="shared" si="7"/>
        <v>74000000</v>
      </c>
      <c r="J16" s="20">
        <f>J14</f>
        <v>10</v>
      </c>
      <c r="K16" s="80">
        <v>38835000</v>
      </c>
      <c r="L16" s="84">
        <f t="shared" si="8"/>
        <v>0.52479729729729729</v>
      </c>
      <c r="M16" s="84">
        <v>0.05</v>
      </c>
      <c r="N16" s="84">
        <f t="shared" si="9"/>
        <v>0.57479729729729734</v>
      </c>
      <c r="O16" s="95">
        <v>0.1</v>
      </c>
      <c r="P16" s="84">
        <f t="shared" si="15"/>
        <v>0.32520270270270268</v>
      </c>
      <c r="Q16" s="85">
        <f t="shared" si="14"/>
        <v>24065000</v>
      </c>
      <c r="R16" s="66">
        <v>0.33</v>
      </c>
      <c r="S16" s="76">
        <f t="shared" si="1"/>
        <v>24420000</v>
      </c>
      <c r="T16" s="66">
        <v>0.1</v>
      </c>
      <c r="U16" s="66">
        <v>0.15</v>
      </c>
      <c r="V16" s="66">
        <f t="shared" si="11"/>
        <v>0.58000000000000007</v>
      </c>
      <c r="W16" s="72">
        <f t="shared" si="12"/>
        <v>0.41999999999999993</v>
      </c>
      <c r="X16" s="72">
        <v>0.1</v>
      </c>
      <c r="Y16" s="72">
        <f t="shared" si="13"/>
        <v>0.31999999999999995</v>
      </c>
      <c r="Z16" s="75">
        <f t="shared" si="2"/>
        <v>23679999.999999996</v>
      </c>
      <c r="AA16" s="46" t="s">
        <v>15</v>
      </c>
      <c r="AB16" s="34" t="s">
        <v>49</v>
      </c>
    </row>
    <row r="17" spans="1:28" s="10" customFormat="1" ht="17.25" x14ac:dyDescent="0.45">
      <c r="A17" s="32" t="s">
        <v>22</v>
      </c>
      <c r="B17" s="21" t="s">
        <v>9</v>
      </c>
      <c r="C17" s="22">
        <v>10000000</v>
      </c>
      <c r="D17" s="17">
        <f t="shared" si="3"/>
        <v>11000000</v>
      </c>
      <c r="E17" s="17">
        <f t="shared" si="4"/>
        <v>110000000</v>
      </c>
      <c r="F17" s="18">
        <v>0.25</v>
      </c>
      <c r="G17" s="19">
        <f t="shared" si="5"/>
        <v>8250000</v>
      </c>
      <c r="H17" s="19">
        <f t="shared" si="6"/>
        <v>8300000</v>
      </c>
      <c r="I17" s="25">
        <f t="shared" si="7"/>
        <v>83000000</v>
      </c>
      <c r="J17" s="20">
        <f t="shared" si="0"/>
        <v>10</v>
      </c>
      <c r="K17" s="80">
        <v>44297000</v>
      </c>
      <c r="L17" s="84">
        <f t="shared" si="8"/>
        <v>0.53369879518072294</v>
      </c>
      <c r="M17" s="84">
        <v>0.05</v>
      </c>
      <c r="N17" s="84">
        <f t="shared" si="9"/>
        <v>0.58369879518072298</v>
      </c>
      <c r="O17" s="95">
        <v>0.1</v>
      </c>
      <c r="P17" s="84">
        <f t="shared" si="15"/>
        <v>0.31630120481927704</v>
      </c>
      <c r="Q17" s="85">
        <f t="shared" si="14"/>
        <v>26252999.999999993</v>
      </c>
      <c r="R17" s="66">
        <v>0.34</v>
      </c>
      <c r="S17" s="76">
        <f t="shared" si="1"/>
        <v>28220000.000000004</v>
      </c>
      <c r="T17" s="66">
        <v>0.1</v>
      </c>
      <c r="U17" s="66">
        <v>0.15</v>
      </c>
      <c r="V17" s="66">
        <f t="shared" si="11"/>
        <v>0.59000000000000008</v>
      </c>
      <c r="W17" s="72">
        <f t="shared" si="12"/>
        <v>0.40999999999999992</v>
      </c>
      <c r="X17" s="72">
        <v>0.1</v>
      </c>
      <c r="Y17" s="72">
        <f t="shared" si="13"/>
        <v>0.30999999999999994</v>
      </c>
      <c r="Z17" s="75">
        <f t="shared" si="2"/>
        <v>25729999.999999996</v>
      </c>
      <c r="AA17" s="46" t="s">
        <v>13</v>
      </c>
      <c r="AB17" s="34" t="s">
        <v>46</v>
      </c>
    </row>
    <row r="18" spans="1:28" s="10" customFormat="1" ht="17.25" x14ac:dyDescent="0.45">
      <c r="A18" s="32" t="s">
        <v>24</v>
      </c>
      <c r="B18" s="21" t="s">
        <v>25</v>
      </c>
      <c r="C18" s="22">
        <v>11500000</v>
      </c>
      <c r="D18" s="17">
        <f t="shared" si="3"/>
        <v>12650000</v>
      </c>
      <c r="E18" s="17">
        <f t="shared" si="4"/>
        <v>126500000</v>
      </c>
      <c r="F18" s="18">
        <v>0.3</v>
      </c>
      <c r="G18" s="19">
        <f t="shared" si="5"/>
        <v>8855000</v>
      </c>
      <c r="H18" s="19">
        <f t="shared" si="6"/>
        <v>8900000</v>
      </c>
      <c r="I18" s="25">
        <f t="shared" si="7"/>
        <v>89000000</v>
      </c>
      <c r="J18" s="20">
        <f t="shared" si="0"/>
        <v>10</v>
      </c>
      <c r="K18" s="80">
        <v>45938000</v>
      </c>
      <c r="L18" s="84">
        <f t="shared" si="8"/>
        <v>0.51615730337078647</v>
      </c>
      <c r="M18" s="84">
        <v>0.05</v>
      </c>
      <c r="N18" s="84">
        <f t="shared" si="9"/>
        <v>0.56615730337078651</v>
      </c>
      <c r="O18" s="95">
        <v>0.1</v>
      </c>
      <c r="P18" s="84">
        <f t="shared" si="15"/>
        <v>0.33384269662921351</v>
      </c>
      <c r="Q18" s="85">
        <f t="shared" si="14"/>
        <v>29712000.000000004</v>
      </c>
      <c r="R18" s="66">
        <v>0.36</v>
      </c>
      <c r="S18" s="76">
        <f t="shared" si="1"/>
        <v>32040000</v>
      </c>
      <c r="T18" s="66">
        <v>0.1</v>
      </c>
      <c r="U18" s="66">
        <v>0.15</v>
      </c>
      <c r="V18" s="66">
        <f t="shared" si="11"/>
        <v>0.61</v>
      </c>
      <c r="W18" s="72">
        <f t="shared" si="12"/>
        <v>0.39</v>
      </c>
      <c r="X18" s="72">
        <v>0.1</v>
      </c>
      <c r="Y18" s="72">
        <f t="shared" si="13"/>
        <v>0.29000000000000004</v>
      </c>
      <c r="Z18" s="75">
        <f t="shared" si="2"/>
        <v>25810000.000000004</v>
      </c>
      <c r="AA18" s="46" t="s">
        <v>26</v>
      </c>
      <c r="AB18" s="34" t="s">
        <v>23</v>
      </c>
    </row>
    <row r="19" spans="1:28" s="10" customFormat="1" ht="17.25" x14ac:dyDescent="0.45">
      <c r="A19" s="32" t="s">
        <v>36</v>
      </c>
      <c r="B19" s="21" t="s">
        <v>28</v>
      </c>
      <c r="C19" s="26">
        <v>12000000</v>
      </c>
      <c r="D19" s="17">
        <f t="shared" si="3"/>
        <v>13200000</v>
      </c>
      <c r="E19" s="17">
        <f t="shared" si="4"/>
        <v>132000000</v>
      </c>
      <c r="F19" s="18">
        <v>0.4</v>
      </c>
      <c r="G19" s="19">
        <f t="shared" si="5"/>
        <v>7920000</v>
      </c>
      <c r="H19" s="19">
        <f t="shared" si="6"/>
        <v>7900000</v>
      </c>
      <c r="I19" s="25">
        <f t="shared" si="7"/>
        <v>79000000</v>
      </c>
      <c r="J19" s="20">
        <f t="shared" si="0"/>
        <v>10</v>
      </c>
      <c r="K19" s="80">
        <v>51203000</v>
      </c>
      <c r="L19" s="84">
        <f t="shared" si="8"/>
        <v>0.6481392405063291</v>
      </c>
      <c r="M19" s="84">
        <v>0.05</v>
      </c>
      <c r="N19" s="84">
        <f t="shared" si="9"/>
        <v>0.69813924050632914</v>
      </c>
      <c r="O19" s="95">
        <v>0.1</v>
      </c>
      <c r="P19" s="84">
        <f t="shared" si="15"/>
        <v>0.20186075949367088</v>
      </c>
      <c r="Q19" s="85">
        <f t="shared" si="14"/>
        <v>15947000</v>
      </c>
      <c r="R19" s="66">
        <v>0.43</v>
      </c>
      <c r="S19" s="76">
        <f t="shared" si="1"/>
        <v>33970000</v>
      </c>
      <c r="T19" s="66">
        <v>0.1</v>
      </c>
      <c r="U19" s="66">
        <v>0.15</v>
      </c>
      <c r="V19" s="66">
        <f t="shared" si="11"/>
        <v>0.68</v>
      </c>
      <c r="W19" s="72">
        <f t="shared" si="12"/>
        <v>0.31999999999999995</v>
      </c>
      <c r="X19" s="72">
        <v>0.1</v>
      </c>
      <c r="Y19" s="72">
        <f t="shared" si="13"/>
        <v>0.21999999999999995</v>
      </c>
      <c r="Z19" s="75">
        <f t="shared" si="2"/>
        <v>17379999.999999996</v>
      </c>
      <c r="AA19" s="46" t="s">
        <v>29</v>
      </c>
      <c r="AB19" s="34" t="s">
        <v>23</v>
      </c>
    </row>
    <row r="20" spans="1:28" s="10" customFormat="1" ht="17.25" x14ac:dyDescent="0.45">
      <c r="A20" s="32" t="s">
        <v>30</v>
      </c>
      <c r="B20" s="21" t="s">
        <v>28</v>
      </c>
      <c r="C20" s="26">
        <v>14000000</v>
      </c>
      <c r="D20" s="17">
        <f t="shared" si="3"/>
        <v>15400000</v>
      </c>
      <c r="E20" s="17">
        <f t="shared" si="4"/>
        <v>154000000</v>
      </c>
      <c r="F20" s="18">
        <v>0.4</v>
      </c>
      <c r="G20" s="19">
        <f t="shared" si="5"/>
        <v>9240000</v>
      </c>
      <c r="H20" s="19">
        <f t="shared" si="6"/>
        <v>9200000</v>
      </c>
      <c r="I20" s="25">
        <f t="shared" si="7"/>
        <v>92000000</v>
      </c>
      <c r="J20" s="20">
        <f t="shared" si="0"/>
        <v>10</v>
      </c>
      <c r="K20" s="80">
        <v>56758000</v>
      </c>
      <c r="L20" s="84">
        <f t="shared" si="8"/>
        <v>0.61693478260869561</v>
      </c>
      <c r="M20" s="84">
        <v>0.05</v>
      </c>
      <c r="N20" s="84">
        <f t="shared" si="9"/>
        <v>0.66693478260869565</v>
      </c>
      <c r="O20" s="95">
        <v>0.1</v>
      </c>
      <c r="P20" s="84">
        <f t="shared" si="15"/>
        <v>0.23306521739130437</v>
      </c>
      <c r="Q20" s="85">
        <f t="shared" si="14"/>
        <v>21442000.000000004</v>
      </c>
      <c r="R20" s="66">
        <v>0.39</v>
      </c>
      <c r="S20" s="76">
        <f t="shared" si="1"/>
        <v>35880000</v>
      </c>
      <c r="T20" s="66">
        <v>0.1</v>
      </c>
      <c r="U20" s="66">
        <v>0.15</v>
      </c>
      <c r="V20" s="66">
        <f t="shared" si="11"/>
        <v>0.64</v>
      </c>
      <c r="W20" s="72">
        <f t="shared" si="12"/>
        <v>0.36</v>
      </c>
      <c r="X20" s="72">
        <v>0.1</v>
      </c>
      <c r="Y20" s="72">
        <f t="shared" si="13"/>
        <v>0.26</v>
      </c>
      <c r="Z20" s="75">
        <f t="shared" si="2"/>
        <v>23920000</v>
      </c>
      <c r="AA20" s="46" t="s">
        <v>29</v>
      </c>
      <c r="AB20" s="34" t="s">
        <v>31</v>
      </c>
    </row>
    <row r="21" spans="1:28" s="10" customFormat="1" ht="17.25" x14ac:dyDescent="0.45">
      <c r="A21" s="32" t="s">
        <v>48</v>
      </c>
      <c r="B21" s="21" t="s">
        <v>28</v>
      </c>
      <c r="C21" s="26">
        <v>20000000</v>
      </c>
      <c r="D21" s="17">
        <f t="shared" si="3"/>
        <v>22000000</v>
      </c>
      <c r="E21" s="17">
        <f t="shared" si="4"/>
        <v>220000000</v>
      </c>
      <c r="F21" s="18">
        <v>0.5</v>
      </c>
      <c r="G21" s="19">
        <f t="shared" si="5"/>
        <v>11000000</v>
      </c>
      <c r="H21" s="19">
        <f t="shared" si="6"/>
        <v>11000000</v>
      </c>
      <c r="I21" s="25">
        <f t="shared" si="7"/>
        <v>110000000</v>
      </c>
      <c r="J21" s="20">
        <f t="shared" si="0"/>
        <v>10</v>
      </c>
      <c r="K21" s="80">
        <v>61681000</v>
      </c>
      <c r="L21" s="84">
        <f t="shared" si="8"/>
        <v>0.56073636363636359</v>
      </c>
      <c r="M21" s="84">
        <v>0.05</v>
      </c>
      <c r="N21" s="84">
        <f t="shared" si="9"/>
        <v>0.61073636363636363</v>
      </c>
      <c r="O21" s="95">
        <v>0.1</v>
      </c>
      <c r="P21" s="84">
        <f t="shared" si="15"/>
        <v>0.28926363636363639</v>
      </c>
      <c r="Q21" s="85">
        <f t="shared" si="14"/>
        <v>31819000.000000004</v>
      </c>
      <c r="R21" s="66">
        <v>0.31</v>
      </c>
      <c r="S21" s="76">
        <f t="shared" si="1"/>
        <v>34100000</v>
      </c>
      <c r="T21" s="66">
        <v>0.1</v>
      </c>
      <c r="U21" s="66">
        <v>0.15</v>
      </c>
      <c r="V21" s="66">
        <f t="shared" si="11"/>
        <v>0.56000000000000005</v>
      </c>
      <c r="W21" s="72">
        <f t="shared" si="12"/>
        <v>0.43999999999999995</v>
      </c>
      <c r="X21" s="72">
        <v>0.1</v>
      </c>
      <c r="Y21" s="72">
        <f t="shared" si="13"/>
        <v>0.33999999999999997</v>
      </c>
      <c r="Z21" s="75">
        <f t="shared" si="2"/>
        <v>37400000</v>
      </c>
      <c r="AA21" s="46" t="s">
        <v>29</v>
      </c>
      <c r="AB21" s="34" t="s">
        <v>31</v>
      </c>
    </row>
    <row r="22" spans="1:28" s="23" customFormat="1" ht="17.25" x14ac:dyDescent="0.45">
      <c r="A22" s="21"/>
      <c r="B22" s="21"/>
      <c r="C22" s="22"/>
      <c r="D22" s="17"/>
      <c r="E22" s="17">
        <f t="shared" si="4"/>
        <v>0</v>
      </c>
      <c r="F22" s="18"/>
      <c r="G22" s="19">
        <f t="shared" si="5"/>
        <v>0</v>
      </c>
      <c r="H22" s="19">
        <f t="shared" si="6"/>
        <v>0</v>
      </c>
      <c r="I22" s="25">
        <f t="shared" si="7"/>
        <v>0</v>
      </c>
      <c r="J22" s="20"/>
      <c r="K22" s="65"/>
      <c r="L22" s="65"/>
      <c r="M22" s="65"/>
      <c r="N22" s="65"/>
      <c r="O22" s="65"/>
      <c r="P22" s="84"/>
      <c r="Q22" s="65"/>
      <c r="R22" s="65"/>
      <c r="S22" s="76"/>
      <c r="T22" s="65"/>
      <c r="U22" s="65"/>
      <c r="V22" s="66"/>
      <c r="W22" s="72"/>
      <c r="X22" s="72"/>
      <c r="Y22" s="72"/>
      <c r="Z22" s="75"/>
      <c r="AA22" s="46"/>
      <c r="AB22" s="19"/>
    </row>
    <row r="23" spans="1:28" s="10" customFormat="1" ht="17.25" x14ac:dyDescent="0.45">
      <c r="A23" s="37" t="s">
        <v>32</v>
      </c>
      <c r="B23" s="38" t="s">
        <v>9</v>
      </c>
      <c r="C23" s="47">
        <v>8000000</v>
      </c>
      <c r="D23" s="40">
        <f t="shared" si="3"/>
        <v>8800000</v>
      </c>
      <c r="E23" s="40">
        <f t="shared" si="4"/>
        <v>88000000</v>
      </c>
      <c r="F23" s="48">
        <v>0.4</v>
      </c>
      <c r="G23" s="49">
        <f t="shared" si="5"/>
        <v>5280000</v>
      </c>
      <c r="H23" s="49">
        <f t="shared" si="6"/>
        <v>5300000</v>
      </c>
      <c r="I23" s="50">
        <f t="shared" si="7"/>
        <v>53000000</v>
      </c>
      <c r="J23" s="44">
        <f>J7</f>
        <v>10</v>
      </c>
      <c r="K23" s="81">
        <v>38741000</v>
      </c>
      <c r="L23" s="93">
        <f t="shared" ref="L23:L25" si="16">(K23/I23)*100%</f>
        <v>0.73096226415094334</v>
      </c>
      <c r="M23" s="93">
        <v>0.03</v>
      </c>
      <c r="N23" s="93">
        <f t="shared" ref="N23:N25" si="17">L23+M23</f>
        <v>0.76096226415094337</v>
      </c>
      <c r="O23" s="96"/>
      <c r="P23" s="93">
        <f t="shared" si="15"/>
        <v>0.23903773584905663</v>
      </c>
      <c r="Q23" s="94">
        <f t="shared" si="14"/>
        <v>12669000.000000002</v>
      </c>
      <c r="R23" s="71">
        <v>0.36</v>
      </c>
      <c r="S23" s="77">
        <f>I23*R23</f>
        <v>19080000</v>
      </c>
      <c r="T23" s="71">
        <v>0.1</v>
      </c>
      <c r="U23" s="71">
        <v>0.15</v>
      </c>
      <c r="V23" s="71">
        <f t="shared" si="11"/>
        <v>0.61</v>
      </c>
      <c r="W23" s="73">
        <f t="shared" si="12"/>
        <v>0.39</v>
      </c>
      <c r="X23" s="73"/>
      <c r="Y23" s="73"/>
      <c r="Z23" s="82">
        <f>I23*W23</f>
        <v>20670000</v>
      </c>
      <c r="AA23" s="52" t="s">
        <v>13</v>
      </c>
      <c r="AB23" s="51" t="s">
        <v>47</v>
      </c>
    </row>
    <row r="24" spans="1:28" s="10" customFormat="1" ht="17.25" x14ac:dyDescent="0.45">
      <c r="A24" s="37" t="s">
        <v>34</v>
      </c>
      <c r="B24" s="38" t="s">
        <v>35</v>
      </c>
      <c r="C24" s="47">
        <v>10000000</v>
      </c>
      <c r="D24" s="40">
        <f t="shared" si="3"/>
        <v>11000000</v>
      </c>
      <c r="E24" s="40">
        <f t="shared" si="4"/>
        <v>110000000</v>
      </c>
      <c r="F24" s="48">
        <v>0.4</v>
      </c>
      <c r="G24" s="49">
        <f t="shared" si="5"/>
        <v>6600000</v>
      </c>
      <c r="H24" s="49">
        <f t="shared" si="6"/>
        <v>6600000</v>
      </c>
      <c r="I24" s="50">
        <f t="shared" si="7"/>
        <v>66000000</v>
      </c>
      <c r="J24" s="44">
        <f t="shared" ref="J24:J25" si="18">J8</f>
        <v>10</v>
      </c>
      <c r="K24" s="81">
        <v>43664000</v>
      </c>
      <c r="L24" s="93">
        <f t="shared" si="16"/>
        <v>0.66157575757575759</v>
      </c>
      <c r="M24" s="93">
        <v>0.03</v>
      </c>
      <c r="N24" s="93">
        <f t="shared" si="17"/>
        <v>0.69157575757575762</v>
      </c>
      <c r="O24" s="96"/>
      <c r="P24" s="93">
        <f t="shared" si="15"/>
        <v>0.30842424242424238</v>
      </c>
      <c r="Q24" s="94">
        <f t="shared" si="14"/>
        <v>20355999.999999996</v>
      </c>
      <c r="R24" s="71">
        <v>0.31</v>
      </c>
      <c r="S24" s="77">
        <f>I24*R24</f>
        <v>20460000</v>
      </c>
      <c r="T24" s="71">
        <v>0.1</v>
      </c>
      <c r="U24" s="71">
        <v>0.15</v>
      </c>
      <c r="V24" s="71">
        <f t="shared" si="11"/>
        <v>0.56000000000000005</v>
      </c>
      <c r="W24" s="73">
        <f t="shared" si="12"/>
        <v>0.43999999999999995</v>
      </c>
      <c r="X24" s="73"/>
      <c r="Y24" s="73"/>
      <c r="Z24" s="82">
        <f>I24*W24</f>
        <v>29039999.999999996</v>
      </c>
      <c r="AA24" s="52" t="s">
        <v>13</v>
      </c>
      <c r="AB24" s="51" t="s">
        <v>33</v>
      </c>
    </row>
    <row r="25" spans="1:28" s="10" customFormat="1" ht="17.25" x14ac:dyDescent="0.45">
      <c r="A25" s="37" t="s">
        <v>51</v>
      </c>
      <c r="B25" s="38" t="s">
        <v>9</v>
      </c>
      <c r="C25" s="47">
        <v>15000000</v>
      </c>
      <c r="D25" s="40">
        <f t="shared" si="3"/>
        <v>16500000</v>
      </c>
      <c r="E25" s="40">
        <f t="shared" si="4"/>
        <v>165000000</v>
      </c>
      <c r="F25" s="48">
        <v>0.4</v>
      </c>
      <c r="G25" s="49">
        <f t="shared" si="5"/>
        <v>9900000</v>
      </c>
      <c r="H25" s="49">
        <f t="shared" si="6"/>
        <v>9900000</v>
      </c>
      <c r="I25" s="50">
        <f t="shared" si="7"/>
        <v>99000000</v>
      </c>
      <c r="J25" s="44">
        <f t="shared" si="18"/>
        <v>10</v>
      </c>
      <c r="K25" s="81">
        <v>55698000</v>
      </c>
      <c r="L25" s="93">
        <f t="shared" si="16"/>
        <v>0.56260606060606055</v>
      </c>
      <c r="M25" s="93">
        <v>0.03</v>
      </c>
      <c r="N25" s="93">
        <f t="shared" si="17"/>
        <v>0.59260606060606058</v>
      </c>
      <c r="O25" s="96"/>
      <c r="P25" s="93">
        <f t="shared" si="15"/>
        <v>0.40739393939393942</v>
      </c>
      <c r="Q25" s="94">
        <f t="shared" si="14"/>
        <v>40332000</v>
      </c>
      <c r="R25" s="71">
        <v>0.25</v>
      </c>
      <c r="S25" s="77">
        <f>I25*R25</f>
        <v>24750000</v>
      </c>
      <c r="T25" s="71">
        <v>0.1</v>
      </c>
      <c r="U25" s="71">
        <v>0.15</v>
      </c>
      <c r="V25" s="71">
        <f t="shared" si="11"/>
        <v>0.5</v>
      </c>
      <c r="W25" s="73">
        <f t="shared" si="12"/>
        <v>0.5</v>
      </c>
      <c r="X25" s="73"/>
      <c r="Y25" s="73"/>
      <c r="Z25" s="82">
        <f>I25*W25</f>
        <v>49500000</v>
      </c>
      <c r="AA25" s="52" t="s">
        <v>13</v>
      </c>
      <c r="AB25" s="51" t="s">
        <v>33</v>
      </c>
    </row>
  </sheetData>
  <mergeCells count="2">
    <mergeCell ref="A6:J6"/>
    <mergeCell ref="A1:I3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showGridLines="0" topLeftCell="A6" zoomScaleNormal="100" workbookViewId="0">
      <selection activeCell="D15" sqref="D15"/>
    </sheetView>
  </sheetViews>
  <sheetFormatPr defaultColWidth="9.25" defaultRowHeight="13.5" x14ac:dyDescent="0.35"/>
  <cols>
    <col min="1" max="1" width="24.375" style="11" customWidth="1"/>
    <col min="2" max="2" width="12.0625" style="11" customWidth="1"/>
    <col min="3" max="4" width="17.5" style="11" customWidth="1"/>
    <col min="5" max="5" width="17" style="11" customWidth="1"/>
    <col min="6" max="6" width="9.25" style="11" customWidth="1"/>
    <col min="7" max="7" width="17.75" style="11" hidden="1" customWidth="1"/>
    <col min="8" max="8" width="17.75" style="11" customWidth="1"/>
    <col min="9" max="9" width="22.5" style="11" customWidth="1"/>
    <col min="10" max="10" width="5" style="11" customWidth="1"/>
    <col min="11" max="11" width="13.9375" style="87" customWidth="1"/>
    <col min="12" max="12" width="13.9375" style="90" customWidth="1"/>
    <col min="13" max="13" width="13.9375" style="11" customWidth="1"/>
    <col min="14" max="14" width="11.9375" style="11" customWidth="1"/>
    <col min="15" max="17" width="13.9375" style="11" customWidth="1"/>
    <col min="18" max="18" width="10.375" style="11" customWidth="1"/>
    <col min="19" max="19" width="37.5" style="11" customWidth="1"/>
    <col min="20" max="22" width="23.25" style="11" customWidth="1"/>
    <col min="23" max="16384" width="9.25" style="11"/>
  </cols>
  <sheetData>
    <row r="1" spans="1:19" x14ac:dyDescent="0.35">
      <c r="A1" s="98"/>
      <c r="B1" s="98"/>
      <c r="C1" s="98"/>
      <c r="D1" s="98"/>
      <c r="E1" s="98"/>
      <c r="F1" s="98"/>
      <c r="G1" s="98"/>
      <c r="H1" s="98"/>
      <c r="I1" s="98"/>
      <c r="J1" s="98"/>
    </row>
    <row r="2" spans="1:19" x14ac:dyDescent="0.35">
      <c r="A2" s="98"/>
      <c r="B2" s="98"/>
      <c r="C2" s="98"/>
      <c r="D2" s="98"/>
      <c r="E2" s="98"/>
      <c r="F2" s="98"/>
      <c r="G2" s="98"/>
      <c r="H2" s="98"/>
      <c r="I2" s="98"/>
      <c r="J2" s="98"/>
    </row>
    <row r="3" spans="1:19" x14ac:dyDescent="0.35">
      <c r="A3" s="98"/>
      <c r="B3" s="98"/>
      <c r="C3" s="98"/>
      <c r="D3" s="98"/>
      <c r="E3" s="98"/>
      <c r="F3" s="98"/>
      <c r="G3" s="98"/>
      <c r="H3" s="98"/>
      <c r="I3" s="98"/>
      <c r="J3" s="98"/>
    </row>
    <row r="6" spans="1:19" s="10" customFormat="1" ht="15" x14ac:dyDescent="0.4">
      <c r="A6" s="97" t="s">
        <v>41</v>
      </c>
      <c r="B6" s="97"/>
      <c r="C6" s="97"/>
      <c r="D6" s="97"/>
      <c r="E6" s="97"/>
      <c r="F6" s="97"/>
      <c r="G6" s="97"/>
      <c r="H6" s="97"/>
      <c r="I6" s="97"/>
      <c r="J6" s="97"/>
      <c r="K6" s="88"/>
      <c r="L6" s="91"/>
      <c r="M6" s="63"/>
      <c r="N6" s="63"/>
      <c r="O6" s="63"/>
      <c r="P6" s="63"/>
      <c r="Q6" s="63"/>
    </row>
    <row r="7" spans="1:19" s="10" customFormat="1" ht="54" x14ac:dyDescent="0.4">
      <c r="A7" s="12" t="s">
        <v>1</v>
      </c>
      <c r="B7" s="12" t="s">
        <v>2</v>
      </c>
      <c r="C7" s="13" t="s">
        <v>3</v>
      </c>
      <c r="D7" s="86" t="s">
        <v>66</v>
      </c>
      <c r="E7" s="13" t="s">
        <v>37</v>
      </c>
      <c r="F7" s="14" t="s">
        <v>4</v>
      </c>
      <c r="G7" s="15" t="s">
        <v>5</v>
      </c>
      <c r="H7" s="15" t="s">
        <v>5</v>
      </c>
      <c r="I7" s="13" t="s">
        <v>69</v>
      </c>
      <c r="J7" s="12">
        <v>8</v>
      </c>
      <c r="K7" s="89" t="s">
        <v>63</v>
      </c>
      <c r="L7" s="92" t="s">
        <v>64</v>
      </c>
      <c r="M7" s="83" t="s">
        <v>67</v>
      </c>
      <c r="N7" s="83" t="s">
        <v>57</v>
      </c>
      <c r="O7" s="83" t="s">
        <v>70</v>
      </c>
      <c r="P7" s="83" t="s">
        <v>65</v>
      </c>
      <c r="Q7" s="83" t="s">
        <v>62</v>
      </c>
      <c r="R7" s="9" t="s">
        <v>6</v>
      </c>
      <c r="S7" s="2" t="s">
        <v>7</v>
      </c>
    </row>
    <row r="8" spans="1:19" s="10" customFormat="1" ht="17.25" x14ac:dyDescent="0.45">
      <c r="A8" s="31" t="s">
        <v>8</v>
      </c>
      <c r="B8" s="16" t="s">
        <v>9</v>
      </c>
      <c r="C8" s="17">
        <v>2500000</v>
      </c>
      <c r="D8" s="17">
        <f>C8+(C8*10%)</f>
        <v>2750000</v>
      </c>
      <c r="E8" s="17">
        <f>D8*J8</f>
        <v>22000000</v>
      </c>
      <c r="F8" s="18">
        <v>0.15</v>
      </c>
      <c r="G8" s="19">
        <f>D8-(D8*F8)</f>
        <v>2337500</v>
      </c>
      <c r="H8" s="19">
        <f>ROUND(VALUE(G8),-5)</f>
        <v>2300000</v>
      </c>
      <c r="I8" s="25">
        <f>H8*J8</f>
        <v>18400000</v>
      </c>
      <c r="J8" s="20">
        <f t="shared" ref="J8:J21" si="0">J7</f>
        <v>8</v>
      </c>
      <c r="K8" s="80">
        <v>18069000</v>
      </c>
      <c r="L8" s="84">
        <f>(K8/I8)*100%</f>
        <v>0.98201086956521744</v>
      </c>
      <c r="M8" s="84">
        <v>0.05</v>
      </c>
      <c r="N8" s="84">
        <f>L8+M8</f>
        <v>1.0320108695652175</v>
      </c>
      <c r="O8" s="84"/>
      <c r="P8" s="84">
        <f>100%-N8</f>
        <v>-3.2010869565217481E-2</v>
      </c>
      <c r="Q8" s="85">
        <f>P8*I8</f>
        <v>-589000.00000000163</v>
      </c>
      <c r="R8" s="19" t="s">
        <v>10</v>
      </c>
      <c r="S8" s="34" t="s">
        <v>11</v>
      </c>
    </row>
    <row r="9" spans="1:19" s="10" customFormat="1" ht="17.25" x14ac:dyDescent="0.45">
      <c r="A9" s="32" t="s">
        <v>12</v>
      </c>
      <c r="B9" s="21" t="s">
        <v>9</v>
      </c>
      <c r="C9" s="22">
        <v>3500000</v>
      </c>
      <c r="D9" s="17">
        <f t="shared" ref="D9:D25" si="1">C9+(C9*10%)</f>
        <v>3850000</v>
      </c>
      <c r="E9" s="17">
        <f t="shared" ref="E9:E25" si="2">D9*J9</f>
        <v>30800000</v>
      </c>
      <c r="F9" s="18">
        <v>0.15</v>
      </c>
      <c r="G9" s="19">
        <f t="shared" ref="G9:G25" si="3">D9-(D9*F9)</f>
        <v>3272500</v>
      </c>
      <c r="H9" s="19">
        <f t="shared" ref="H9:H25" si="4">ROUND(VALUE(G9),-5)</f>
        <v>3300000</v>
      </c>
      <c r="I9" s="25">
        <f t="shared" ref="I9:I25" si="5">H9*J9</f>
        <v>26400000</v>
      </c>
      <c r="J9" s="20">
        <f t="shared" si="0"/>
        <v>8</v>
      </c>
      <c r="K9" s="80">
        <v>21857000</v>
      </c>
      <c r="L9" s="84">
        <f>(K9/I9)*100%</f>
        <v>0.82791666666666663</v>
      </c>
      <c r="M9" s="84">
        <v>0.05</v>
      </c>
      <c r="N9" s="84">
        <f t="shared" ref="N9:N25" si="6">L9+M9</f>
        <v>0.87791666666666668</v>
      </c>
      <c r="O9" s="84"/>
      <c r="P9" s="84">
        <f t="shared" ref="P9:P12" si="7">100%-N9</f>
        <v>0.12208333333333332</v>
      </c>
      <c r="Q9" s="85">
        <f>P9*I9</f>
        <v>3222999.9999999995</v>
      </c>
      <c r="R9" s="19" t="s">
        <v>13</v>
      </c>
      <c r="S9" s="34" t="s">
        <v>11</v>
      </c>
    </row>
    <row r="10" spans="1:19" s="10" customFormat="1" ht="17.25" x14ac:dyDescent="0.45">
      <c r="A10" s="32" t="s">
        <v>14</v>
      </c>
      <c r="B10" s="21" t="s">
        <v>9</v>
      </c>
      <c r="C10" s="22">
        <v>4000000</v>
      </c>
      <c r="D10" s="17">
        <f t="shared" si="1"/>
        <v>4400000</v>
      </c>
      <c r="E10" s="17">
        <f t="shared" si="2"/>
        <v>35200000</v>
      </c>
      <c r="F10" s="18">
        <v>0.15</v>
      </c>
      <c r="G10" s="19">
        <f t="shared" si="3"/>
        <v>3740000</v>
      </c>
      <c r="H10" s="19">
        <f t="shared" si="4"/>
        <v>3700000</v>
      </c>
      <c r="I10" s="25">
        <f t="shared" si="5"/>
        <v>29600000</v>
      </c>
      <c r="J10" s="20">
        <f t="shared" si="0"/>
        <v>8</v>
      </c>
      <c r="K10" s="80">
        <v>24332000</v>
      </c>
      <c r="L10" s="84">
        <f>(K10/I10)*100%</f>
        <v>0.82202702702702701</v>
      </c>
      <c r="M10" s="84">
        <v>0.05</v>
      </c>
      <c r="N10" s="84">
        <f t="shared" si="6"/>
        <v>0.87202702702702706</v>
      </c>
      <c r="O10" s="84"/>
      <c r="P10" s="84">
        <f t="shared" si="7"/>
        <v>0.12797297297297294</v>
      </c>
      <c r="Q10" s="85">
        <f>P10*I10</f>
        <v>3787999.9999999991</v>
      </c>
      <c r="R10" s="19" t="s">
        <v>15</v>
      </c>
      <c r="S10" s="34" t="s">
        <v>16</v>
      </c>
    </row>
    <row r="11" spans="1:19" s="10" customFormat="1" ht="17.25" x14ac:dyDescent="0.45">
      <c r="A11" s="32" t="s">
        <v>43</v>
      </c>
      <c r="B11" s="21" t="s">
        <v>25</v>
      </c>
      <c r="C11" s="30">
        <v>6000000</v>
      </c>
      <c r="D11" s="17">
        <f t="shared" si="1"/>
        <v>6600000</v>
      </c>
      <c r="E11" s="17">
        <f t="shared" si="2"/>
        <v>52800000</v>
      </c>
      <c r="F11" s="18">
        <v>0.15</v>
      </c>
      <c r="G11" s="19">
        <f t="shared" si="3"/>
        <v>5610000</v>
      </c>
      <c r="H11" s="19">
        <f t="shared" si="4"/>
        <v>5600000</v>
      </c>
      <c r="I11" s="25">
        <f t="shared" si="5"/>
        <v>44800000</v>
      </c>
      <c r="J11" s="20">
        <v>8</v>
      </c>
      <c r="K11" s="76">
        <v>29289000</v>
      </c>
      <c r="L11" s="84">
        <f>(K11/I11)*100%</f>
        <v>0.65377232142857145</v>
      </c>
      <c r="M11" s="84">
        <v>0.05</v>
      </c>
      <c r="N11" s="84">
        <f t="shared" si="6"/>
        <v>0.70377232142857149</v>
      </c>
      <c r="O11" s="84"/>
      <c r="P11" s="84">
        <f t="shared" si="7"/>
        <v>0.29622767857142851</v>
      </c>
      <c r="Q11" s="85">
        <f>P11*I11</f>
        <v>13270999.999999998</v>
      </c>
      <c r="R11" s="45" t="s">
        <v>13</v>
      </c>
      <c r="S11" s="34" t="s">
        <v>44</v>
      </c>
    </row>
    <row r="12" spans="1:19" s="23" customFormat="1" ht="17.25" x14ac:dyDescent="0.45">
      <c r="A12" s="32" t="s">
        <v>17</v>
      </c>
      <c r="B12" s="21" t="s">
        <v>9</v>
      </c>
      <c r="C12" s="22">
        <v>6000000</v>
      </c>
      <c r="D12" s="17">
        <f t="shared" si="1"/>
        <v>6600000</v>
      </c>
      <c r="E12" s="17">
        <f t="shared" si="2"/>
        <v>52800000</v>
      </c>
      <c r="F12" s="18">
        <v>0.15</v>
      </c>
      <c r="G12" s="19">
        <f t="shared" si="3"/>
        <v>5610000</v>
      </c>
      <c r="H12" s="19">
        <f t="shared" si="4"/>
        <v>5600000</v>
      </c>
      <c r="I12" s="25">
        <f t="shared" si="5"/>
        <v>44800000</v>
      </c>
      <c r="J12" s="20">
        <f>J10</f>
        <v>8</v>
      </c>
      <c r="K12" s="80"/>
      <c r="L12" s="84">
        <f t="shared" ref="L12:L25" si="8">(K12/I12)*100%</f>
        <v>0</v>
      </c>
      <c r="M12" s="84">
        <v>0.05</v>
      </c>
      <c r="N12" s="84">
        <f t="shared" si="6"/>
        <v>0.05</v>
      </c>
      <c r="O12" s="84"/>
      <c r="P12" s="84">
        <f t="shared" si="7"/>
        <v>0.95</v>
      </c>
      <c r="Q12" s="85">
        <f t="shared" ref="Q12:Q25" si="9">P12*I12</f>
        <v>42560000</v>
      </c>
      <c r="R12" s="19" t="s">
        <v>15</v>
      </c>
      <c r="S12" s="34" t="s">
        <v>18</v>
      </c>
    </row>
    <row r="13" spans="1:19" s="10" customFormat="1" ht="17.25" x14ac:dyDescent="0.45">
      <c r="A13" s="32" t="s">
        <v>19</v>
      </c>
      <c r="B13" s="21" t="s">
        <v>9</v>
      </c>
      <c r="C13" s="22">
        <v>7500000</v>
      </c>
      <c r="D13" s="17">
        <f t="shared" si="1"/>
        <v>8250000</v>
      </c>
      <c r="E13" s="17">
        <f t="shared" si="2"/>
        <v>66000000</v>
      </c>
      <c r="F13" s="18">
        <v>0.15</v>
      </c>
      <c r="G13" s="19">
        <f t="shared" si="3"/>
        <v>7012500</v>
      </c>
      <c r="H13" s="19">
        <f t="shared" si="4"/>
        <v>7000000</v>
      </c>
      <c r="I13" s="25">
        <f t="shared" si="5"/>
        <v>56000000</v>
      </c>
      <c r="J13" s="20">
        <f t="shared" si="0"/>
        <v>8</v>
      </c>
      <c r="K13" s="80">
        <v>31552000</v>
      </c>
      <c r="L13" s="84">
        <f t="shared" si="8"/>
        <v>0.56342857142857139</v>
      </c>
      <c r="M13" s="84">
        <v>0.05</v>
      </c>
      <c r="N13" s="84">
        <f t="shared" si="6"/>
        <v>0.61342857142857143</v>
      </c>
      <c r="O13" s="95">
        <v>0.1</v>
      </c>
      <c r="P13" s="84">
        <f>100%-(N13+O13)</f>
        <v>0.28657142857142859</v>
      </c>
      <c r="Q13" s="85">
        <f t="shared" si="9"/>
        <v>16048000</v>
      </c>
      <c r="R13" s="19" t="s">
        <v>13</v>
      </c>
      <c r="S13" s="34" t="s">
        <v>16</v>
      </c>
    </row>
    <row r="14" spans="1:19" s="10" customFormat="1" ht="17.25" x14ac:dyDescent="0.45">
      <c r="A14" s="32" t="s">
        <v>20</v>
      </c>
      <c r="B14" s="21" t="s">
        <v>9</v>
      </c>
      <c r="C14" s="22">
        <v>8500000</v>
      </c>
      <c r="D14" s="17">
        <f t="shared" si="1"/>
        <v>9350000</v>
      </c>
      <c r="E14" s="17">
        <f t="shared" si="2"/>
        <v>74800000</v>
      </c>
      <c r="F14" s="18">
        <v>0.15</v>
      </c>
      <c r="G14" s="19">
        <f t="shared" si="3"/>
        <v>7947500</v>
      </c>
      <c r="H14" s="19">
        <f t="shared" si="4"/>
        <v>7900000</v>
      </c>
      <c r="I14" s="25">
        <f t="shared" si="5"/>
        <v>63200000</v>
      </c>
      <c r="J14" s="20">
        <f t="shared" si="0"/>
        <v>8</v>
      </c>
      <c r="K14" s="80">
        <v>34332000</v>
      </c>
      <c r="L14" s="84">
        <f t="shared" si="8"/>
        <v>0.54322784810126579</v>
      </c>
      <c r="M14" s="84">
        <v>0.05</v>
      </c>
      <c r="N14" s="84">
        <f t="shared" si="6"/>
        <v>0.59322784810126583</v>
      </c>
      <c r="O14" s="95">
        <v>0.1</v>
      </c>
      <c r="P14" s="84">
        <f>100%-(N14+O14)</f>
        <v>0.30677215189873419</v>
      </c>
      <c r="Q14" s="85">
        <f t="shared" si="9"/>
        <v>19388000</v>
      </c>
      <c r="R14" s="19" t="s">
        <v>13</v>
      </c>
      <c r="S14" s="34" t="s">
        <v>18</v>
      </c>
    </row>
    <row r="15" spans="1:19" s="10" customFormat="1" ht="17.25" x14ac:dyDescent="0.45">
      <c r="A15" s="32" t="s">
        <v>45</v>
      </c>
      <c r="B15" s="21" t="s">
        <v>25</v>
      </c>
      <c r="C15" s="30">
        <f>9000000</f>
        <v>9000000</v>
      </c>
      <c r="D15" s="17">
        <f t="shared" si="1"/>
        <v>9900000</v>
      </c>
      <c r="E15" s="17">
        <f t="shared" si="2"/>
        <v>79200000</v>
      </c>
      <c r="F15" s="18">
        <v>0.15</v>
      </c>
      <c r="G15" s="19">
        <f t="shared" si="3"/>
        <v>8415000</v>
      </c>
      <c r="H15" s="19">
        <f t="shared" si="4"/>
        <v>8400000</v>
      </c>
      <c r="I15" s="25">
        <f t="shared" si="5"/>
        <v>67200000</v>
      </c>
      <c r="J15" s="20">
        <v>8</v>
      </c>
      <c r="K15" s="76"/>
      <c r="L15" s="84">
        <f t="shared" si="8"/>
        <v>0</v>
      </c>
      <c r="M15" s="84">
        <v>0.05</v>
      </c>
      <c r="N15" s="84">
        <f t="shared" si="6"/>
        <v>0.05</v>
      </c>
      <c r="O15" s="95">
        <v>0.1</v>
      </c>
      <c r="P15" s="84">
        <f t="shared" ref="P15:P25" si="10">100%-(N15+O15)</f>
        <v>0.85</v>
      </c>
      <c r="Q15" s="85">
        <f t="shared" si="9"/>
        <v>57120000</v>
      </c>
      <c r="R15" s="45" t="s">
        <v>13</v>
      </c>
      <c r="S15" s="34" t="s">
        <v>18</v>
      </c>
    </row>
    <row r="16" spans="1:19" s="10" customFormat="1" ht="17.25" x14ac:dyDescent="0.45">
      <c r="A16" s="32" t="s">
        <v>21</v>
      </c>
      <c r="B16" s="21" t="s">
        <v>9</v>
      </c>
      <c r="C16" s="22">
        <v>9000000</v>
      </c>
      <c r="D16" s="17">
        <f t="shared" si="1"/>
        <v>9900000</v>
      </c>
      <c r="E16" s="17">
        <f t="shared" si="2"/>
        <v>79200000</v>
      </c>
      <c r="F16" s="18">
        <v>0.15</v>
      </c>
      <c r="G16" s="19">
        <f t="shared" si="3"/>
        <v>8415000</v>
      </c>
      <c r="H16" s="19">
        <f t="shared" si="4"/>
        <v>8400000</v>
      </c>
      <c r="I16" s="25">
        <f t="shared" si="5"/>
        <v>67200000</v>
      </c>
      <c r="J16" s="20">
        <f>J14</f>
        <v>8</v>
      </c>
      <c r="K16" s="80">
        <v>34616000</v>
      </c>
      <c r="L16" s="84">
        <f t="shared" si="8"/>
        <v>0.51511904761904759</v>
      </c>
      <c r="M16" s="84">
        <v>0.05</v>
      </c>
      <c r="N16" s="84">
        <f t="shared" si="6"/>
        <v>0.56511904761904763</v>
      </c>
      <c r="O16" s="95">
        <v>0.1</v>
      </c>
      <c r="P16" s="84">
        <f t="shared" si="10"/>
        <v>0.33488095238095239</v>
      </c>
      <c r="Q16" s="85">
        <f t="shared" si="9"/>
        <v>22504000</v>
      </c>
      <c r="R16" s="19" t="s">
        <v>15</v>
      </c>
      <c r="S16" s="34" t="s">
        <v>49</v>
      </c>
    </row>
    <row r="17" spans="1:19" s="10" customFormat="1" ht="17.25" x14ac:dyDescent="0.45">
      <c r="A17" s="32" t="s">
        <v>22</v>
      </c>
      <c r="B17" s="21" t="s">
        <v>9</v>
      </c>
      <c r="C17" s="22">
        <v>10000000</v>
      </c>
      <c r="D17" s="17">
        <f t="shared" si="1"/>
        <v>11000000</v>
      </c>
      <c r="E17" s="17">
        <f t="shared" si="2"/>
        <v>88000000</v>
      </c>
      <c r="F17" s="18">
        <v>0.15</v>
      </c>
      <c r="G17" s="19">
        <f t="shared" si="3"/>
        <v>9350000</v>
      </c>
      <c r="H17" s="19">
        <f t="shared" si="4"/>
        <v>9400000</v>
      </c>
      <c r="I17" s="25">
        <f t="shared" si="5"/>
        <v>75200000</v>
      </c>
      <c r="J17" s="20">
        <f t="shared" si="0"/>
        <v>8</v>
      </c>
      <c r="K17" s="80">
        <v>39204000</v>
      </c>
      <c r="L17" s="84">
        <f t="shared" si="8"/>
        <v>0.52132978723404255</v>
      </c>
      <c r="M17" s="84">
        <v>0.05</v>
      </c>
      <c r="N17" s="84">
        <f t="shared" si="6"/>
        <v>0.5713297872340426</v>
      </c>
      <c r="O17" s="95">
        <v>0.1</v>
      </c>
      <c r="P17" s="84">
        <f t="shared" si="10"/>
        <v>0.32867021276595743</v>
      </c>
      <c r="Q17" s="85">
        <f t="shared" si="9"/>
        <v>24716000</v>
      </c>
      <c r="R17" s="19" t="s">
        <v>13</v>
      </c>
      <c r="S17" s="34" t="s">
        <v>46</v>
      </c>
    </row>
    <row r="18" spans="1:19" s="10" customFormat="1" ht="17.25" x14ac:dyDescent="0.45">
      <c r="A18" s="32" t="s">
        <v>24</v>
      </c>
      <c r="B18" s="21" t="s">
        <v>25</v>
      </c>
      <c r="C18" s="22">
        <v>11500000</v>
      </c>
      <c r="D18" s="17">
        <f t="shared" si="1"/>
        <v>12650000</v>
      </c>
      <c r="E18" s="17">
        <f t="shared" si="2"/>
        <v>101200000</v>
      </c>
      <c r="F18" s="18">
        <v>0.2</v>
      </c>
      <c r="G18" s="19">
        <f t="shared" si="3"/>
        <v>10120000</v>
      </c>
      <c r="H18" s="19">
        <f t="shared" si="4"/>
        <v>10100000</v>
      </c>
      <c r="I18" s="25">
        <f t="shared" si="5"/>
        <v>80800000</v>
      </c>
      <c r="J18" s="20">
        <f t="shared" si="0"/>
        <v>8</v>
      </c>
      <c r="K18" s="80">
        <v>40735000</v>
      </c>
      <c r="L18" s="84">
        <f t="shared" si="8"/>
        <v>0.50414603960396043</v>
      </c>
      <c r="M18" s="84">
        <v>0.05</v>
      </c>
      <c r="N18" s="84">
        <f t="shared" si="6"/>
        <v>0.55414603960396047</v>
      </c>
      <c r="O18" s="95">
        <v>0.1</v>
      </c>
      <c r="P18" s="84">
        <f t="shared" si="10"/>
        <v>0.34585396039603955</v>
      </c>
      <c r="Q18" s="85">
        <f t="shared" si="9"/>
        <v>27944999.999999996</v>
      </c>
      <c r="R18" s="19" t="s">
        <v>26</v>
      </c>
      <c r="S18" s="34" t="s">
        <v>23</v>
      </c>
    </row>
    <row r="19" spans="1:19" s="10" customFormat="1" ht="17.25" x14ac:dyDescent="0.45">
      <c r="A19" s="32" t="s">
        <v>36</v>
      </c>
      <c r="B19" s="21" t="s">
        <v>28</v>
      </c>
      <c r="C19" s="26">
        <v>12000000</v>
      </c>
      <c r="D19" s="26">
        <f>C19+(C19*10%)</f>
        <v>13200000</v>
      </c>
      <c r="E19" s="17">
        <f t="shared" si="2"/>
        <v>105600000</v>
      </c>
      <c r="F19" s="18">
        <v>0.35</v>
      </c>
      <c r="G19" s="19">
        <f t="shared" si="3"/>
        <v>8580000</v>
      </c>
      <c r="H19" s="19">
        <f t="shared" si="4"/>
        <v>8600000</v>
      </c>
      <c r="I19" s="25">
        <f t="shared" si="5"/>
        <v>68800000</v>
      </c>
      <c r="J19" s="20">
        <f t="shared" si="0"/>
        <v>8</v>
      </c>
      <c r="K19" s="80">
        <v>43853000</v>
      </c>
      <c r="L19" s="84">
        <f t="shared" si="8"/>
        <v>0.63739825581395348</v>
      </c>
      <c r="M19" s="84">
        <v>0.05</v>
      </c>
      <c r="N19" s="84">
        <f t="shared" si="6"/>
        <v>0.68739825581395353</v>
      </c>
      <c r="O19" s="95">
        <v>0.1</v>
      </c>
      <c r="P19" s="84">
        <f t="shared" si="10"/>
        <v>0.21260174418604649</v>
      </c>
      <c r="Q19" s="85">
        <f t="shared" si="9"/>
        <v>14626999.999999998</v>
      </c>
      <c r="R19" s="19" t="s">
        <v>29</v>
      </c>
      <c r="S19" s="34" t="s">
        <v>23</v>
      </c>
    </row>
    <row r="20" spans="1:19" s="10" customFormat="1" ht="17.25" x14ac:dyDescent="0.45">
      <c r="A20" s="32" t="s">
        <v>30</v>
      </c>
      <c r="B20" s="21" t="s">
        <v>28</v>
      </c>
      <c r="C20" s="26">
        <v>14000000</v>
      </c>
      <c r="D20" s="26">
        <f t="shared" ref="D20:D21" si="11">C20+(C20*10%)</f>
        <v>15400000</v>
      </c>
      <c r="E20" s="17">
        <f t="shared" si="2"/>
        <v>123200000</v>
      </c>
      <c r="F20" s="18">
        <v>0.35</v>
      </c>
      <c r="G20" s="19">
        <f t="shared" si="3"/>
        <v>10010000</v>
      </c>
      <c r="H20" s="19">
        <f t="shared" si="4"/>
        <v>10000000</v>
      </c>
      <c r="I20" s="25">
        <f t="shared" si="5"/>
        <v>80000000</v>
      </c>
      <c r="J20" s="20">
        <f t="shared" si="0"/>
        <v>8</v>
      </c>
      <c r="K20" s="80">
        <v>48516000</v>
      </c>
      <c r="L20" s="84">
        <f t="shared" si="8"/>
        <v>0.60645000000000004</v>
      </c>
      <c r="M20" s="84">
        <v>0.05</v>
      </c>
      <c r="N20" s="84">
        <f t="shared" si="6"/>
        <v>0.65645000000000009</v>
      </c>
      <c r="O20" s="95">
        <v>0.1</v>
      </c>
      <c r="P20" s="84">
        <f t="shared" si="10"/>
        <v>0.24354999999999993</v>
      </c>
      <c r="Q20" s="85">
        <f t="shared" si="9"/>
        <v>19483999.999999996</v>
      </c>
      <c r="R20" s="19" t="s">
        <v>29</v>
      </c>
      <c r="S20" s="34" t="s">
        <v>31</v>
      </c>
    </row>
    <row r="21" spans="1:19" s="10" customFormat="1" ht="17.25" x14ac:dyDescent="0.45">
      <c r="A21" s="32" t="s">
        <v>48</v>
      </c>
      <c r="B21" s="21" t="s">
        <v>28</v>
      </c>
      <c r="C21" s="26">
        <v>20000000</v>
      </c>
      <c r="D21" s="26">
        <f t="shared" si="11"/>
        <v>22000000</v>
      </c>
      <c r="E21" s="17">
        <f t="shared" si="2"/>
        <v>176000000</v>
      </c>
      <c r="F21" s="18">
        <v>0.4</v>
      </c>
      <c r="G21" s="19">
        <f t="shared" si="3"/>
        <v>13200000</v>
      </c>
      <c r="H21" s="19">
        <f t="shared" si="4"/>
        <v>13200000</v>
      </c>
      <c r="I21" s="25">
        <f t="shared" si="5"/>
        <v>105600000</v>
      </c>
      <c r="J21" s="20">
        <f t="shared" si="0"/>
        <v>8</v>
      </c>
      <c r="K21" s="80">
        <v>55518000</v>
      </c>
      <c r="L21" s="84">
        <f t="shared" si="8"/>
        <v>0.52573863636363638</v>
      </c>
      <c r="M21" s="84">
        <v>0.05</v>
      </c>
      <c r="N21" s="84">
        <f t="shared" si="6"/>
        <v>0.57573863636363642</v>
      </c>
      <c r="O21" s="95">
        <v>0.1</v>
      </c>
      <c r="P21" s="84">
        <f t="shared" si="10"/>
        <v>0.3242613636363636</v>
      </c>
      <c r="Q21" s="85">
        <f t="shared" si="9"/>
        <v>34241999.999999993</v>
      </c>
      <c r="R21" s="19" t="s">
        <v>29</v>
      </c>
      <c r="S21" s="34" t="s">
        <v>31</v>
      </c>
    </row>
    <row r="22" spans="1:19" s="10" customFormat="1" ht="17.25" customHeight="1" x14ac:dyDescent="0.4">
      <c r="A22" s="99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1"/>
    </row>
    <row r="23" spans="1:19" s="10" customFormat="1" ht="17.25" x14ac:dyDescent="0.45">
      <c r="A23" s="37" t="s">
        <v>32</v>
      </c>
      <c r="B23" s="38" t="s">
        <v>9</v>
      </c>
      <c r="C23" s="47">
        <v>8000000</v>
      </c>
      <c r="D23" s="40">
        <f t="shared" si="1"/>
        <v>8800000</v>
      </c>
      <c r="E23" s="40">
        <f t="shared" si="2"/>
        <v>70400000</v>
      </c>
      <c r="F23" s="48">
        <v>0.3</v>
      </c>
      <c r="G23" s="49">
        <f t="shared" si="3"/>
        <v>6160000</v>
      </c>
      <c r="H23" s="49">
        <f t="shared" si="4"/>
        <v>6200000</v>
      </c>
      <c r="I23" s="50">
        <f t="shared" si="5"/>
        <v>49600000</v>
      </c>
      <c r="J23" s="44">
        <f>J7</f>
        <v>8</v>
      </c>
      <c r="K23" s="81">
        <v>34322000</v>
      </c>
      <c r="L23" s="93">
        <f t="shared" si="8"/>
        <v>0.69197580645161294</v>
      </c>
      <c r="M23" s="93">
        <v>0.03</v>
      </c>
      <c r="N23" s="93">
        <f t="shared" si="6"/>
        <v>0.72197580645161297</v>
      </c>
      <c r="O23" s="96">
        <v>0.1</v>
      </c>
      <c r="P23" s="93">
        <f t="shared" si="10"/>
        <v>0.17802419354838706</v>
      </c>
      <c r="Q23" s="94">
        <f t="shared" si="9"/>
        <v>8829999.9999999981</v>
      </c>
      <c r="R23" s="51" t="s">
        <v>13</v>
      </c>
      <c r="S23" s="51" t="s">
        <v>47</v>
      </c>
    </row>
    <row r="24" spans="1:19" s="10" customFormat="1" ht="17.25" x14ac:dyDescent="0.45">
      <c r="A24" s="37" t="s">
        <v>34</v>
      </c>
      <c r="B24" s="38" t="s">
        <v>35</v>
      </c>
      <c r="C24" s="47">
        <v>10000000</v>
      </c>
      <c r="D24" s="40">
        <f t="shared" si="1"/>
        <v>11000000</v>
      </c>
      <c r="E24" s="40">
        <f t="shared" si="2"/>
        <v>88000000</v>
      </c>
      <c r="F24" s="48">
        <v>0.3</v>
      </c>
      <c r="G24" s="49">
        <f t="shared" si="3"/>
        <v>7700000</v>
      </c>
      <c r="H24" s="49">
        <f t="shared" si="4"/>
        <v>7700000</v>
      </c>
      <c r="I24" s="50">
        <f t="shared" si="5"/>
        <v>61600000</v>
      </c>
      <c r="J24" s="44">
        <f t="shared" ref="J24:J25" si="12">J8</f>
        <v>8</v>
      </c>
      <c r="K24" s="81">
        <v>34322000</v>
      </c>
      <c r="L24" s="93">
        <f t="shared" si="8"/>
        <v>0.55717532467532471</v>
      </c>
      <c r="M24" s="93">
        <v>0.03</v>
      </c>
      <c r="N24" s="93">
        <f t="shared" si="6"/>
        <v>0.58717532467532474</v>
      </c>
      <c r="O24" s="96">
        <v>0.1</v>
      </c>
      <c r="P24" s="93">
        <f t="shared" si="10"/>
        <v>0.31282467532467528</v>
      </c>
      <c r="Q24" s="94">
        <f t="shared" si="9"/>
        <v>19269999.999999996</v>
      </c>
      <c r="R24" s="51" t="s">
        <v>13</v>
      </c>
      <c r="S24" s="51" t="s">
        <v>33</v>
      </c>
    </row>
    <row r="25" spans="1:19" s="10" customFormat="1" ht="17.25" x14ac:dyDescent="0.45">
      <c r="A25" s="37" t="s">
        <v>51</v>
      </c>
      <c r="B25" s="38" t="s">
        <v>9</v>
      </c>
      <c r="C25" s="47">
        <v>15000000</v>
      </c>
      <c r="D25" s="40">
        <f t="shared" si="1"/>
        <v>16500000</v>
      </c>
      <c r="E25" s="40">
        <f t="shared" si="2"/>
        <v>132000000</v>
      </c>
      <c r="F25" s="48">
        <v>0.3</v>
      </c>
      <c r="G25" s="49">
        <f t="shared" si="3"/>
        <v>11550000</v>
      </c>
      <c r="H25" s="49">
        <f t="shared" si="4"/>
        <v>11600000</v>
      </c>
      <c r="I25" s="50">
        <f t="shared" si="5"/>
        <v>92800000</v>
      </c>
      <c r="J25" s="44">
        <f t="shared" si="12"/>
        <v>8</v>
      </c>
      <c r="K25" s="81">
        <v>34322000</v>
      </c>
      <c r="L25" s="93">
        <f t="shared" si="8"/>
        <v>0.36984913793103447</v>
      </c>
      <c r="M25" s="93">
        <v>0.03</v>
      </c>
      <c r="N25" s="93">
        <f t="shared" si="6"/>
        <v>0.39984913793103449</v>
      </c>
      <c r="O25" s="96">
        <v>0.1</v>
      </c>
      <c r="P25" s="93">
        <f t="shared" si="10"/>
        <v>0.50015086206896553</v>
      </c>
      <c r="Q25" s="94">
        <f t="shared" si="9"/>
        <v>46414000</v>
      </c>
      <c r="R25" s="51" t="s">
        <v>13</v>
      </c>
      <c r="S25" s="51" t="s">
        <v>33</v>
      </c>
    </row>
  </sheetData>
  <mergeCells count="3">
    <mergeCell ref="A6:J6"/>
    <mergeCell ref="A1:J3"/>
    <mergeCell ref="A22:S2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Combo 20</vt:lpstr>
      <vt:lpstr>Combo 16</vt:lpstr>
      <vt:lpstr>10 răng</vt:lpstr>
      <vt:lpstr>8 răng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Hiền Nguyễn Thanh</cp:lastModifiedBy>
  <dcterms:created xsi:type="dcterms:W3CDTF">2024-06-22T06:30:12Z</dcterms:created>
  <dcterms:modified xsi:type="dcterms:W3CDTF">2026-03-03T02:05:58Z</dcterms:modified>
</cp:coreProperties>
</file>