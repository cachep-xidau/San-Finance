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braci/Desktop/Antigravity/projects/S Group/2026/"/>
    </mc:Choice>
  </mc:AlternateContent>
  <xr:revisionPtr revIDLastSave="0" documentId="13_ncr:1_{93F12292-A3F9-5D49-B7A7-A3677E14B780}" xr6:coauthVersionLast="47" xr6:coauthVersionMax="47" xr10:uidLastSave="{00000000-0000-0000-0000-000000000000}"/>
  <bookViews>
    <workbookView xWindow="1060" yWindow="760" windowWidth="29180" windowHeight="18880" tabRatio="625" activeTab="1" xr2:uid="{A4F3086B-3E38-B143-870A-203038982AE4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50" i="3"/>
  <c r="I49" i="3"/>
  <c r="E49" i="3"/>
  <c r="E48" i="3"/>
  <c r="I48" i="3" s="1"/>
  <c r="E47" i="3"/>
  <c r="I47" i="3" s="1"/>
  <c r="E46" i="3"/>
  <c r="I46" i="3" s="1"/>
  <c r="E45" i="3"/>
  <c r="I45" i="3" s="1"/>
  <c r="E44" i="3"/>
  <c r="I44" i="3" s="1"/>
  <c r="E43" i="3"/>
  <c r="I43" i="3" s="1"/>
  <c r="E42" i="3"/>
  <c r="I42" i="3" s="1"/>
  <c r="E41" i="3"/>
  <c r="I41" i="3" s="1"/>
  <c r="I40" i="3"/>
  <c r="E40" i="3"/>
  <c r="E39" i="3"/>
  <c r="I39" i="3" s="1"/>
  <c r="E38" i="3"/>
  <c r="I38" i="3" s="1"/>
  <c r="E37" i="3"/>
  <c r="I37" i="3" s="1"/>
  <c r="E36" i="3"/>
  <c r="I36" i="3" s="1"/>
  <c r="E35" i="3"/>
  <c r="I35" i="3" s="1"/>
  <c r="E34" i="3"/>
  <c r="I34" i="3" s="1"/>
  <c r="E33" i="3"/>
  <c r="I33" i="3" s="1"/>
  <c r="E32" i="3"/>
  <c r="I32" i="3" s="1"/>
  <c r="I31" i="3"/>
  <c r="E31" i="3"/>
  <c r="E30" i="3"/>
  <c r="I30" i="3" s="1"/>
  <c r="E29" i="3"/>
  <c r="I29" i="3" s="1"/>
  <c r="E28" i="3"/>
  <c r="I28" i="3" s="1"/>
  <c r="E27" i="3"/>
  <c r="I27" i="3" s="1"/>
  <c r="E26" i="3"/>
  <c r="I26" i="3" s="1"/>
  <c r="E25" i="3"/>
  <c r="I25" i="3" s="1"/>
  <c r="E24" i="3"/>
  <c r="I24" i="3" s="1"/>
  <c r="E23" i="3"/>
  <c r="I23" i="3" s="1"/>
  <c r="I22" i="3"/>
  <c r="E22" i="3"/>
  <c r="E21" i="3"/>
  <c r="I21" i="3" s="1"/>
  <c r="F20" i="3"/>
  <c r="H20" i="3" s="1"/>
  <c r="E20" i="3"/>
  <c r="I20" i="3" s="1"/>
  <c r="J20" i="3" s="1"/>
  <c r="K20" i="3" s="1"/>
  <c r="N20" i="3" s="1"/>
  <c r="O20" i="3" s="1"/>
  <c r="I19" i="3"/>
  <c r="J19" i="3" s="1"/>
  <c r="F19" i="3"/>
  <c r="H19" i="3" s="1"/>
  <c r="E19" i="3"/>
  <c r="F18" i="3"/>
  <c r="H18" i="3" s="1"/>
  <c r="E18" i="3"/>
  <c r="I18" i="3" s="1"/>
  <c r="J18" i="3" s="1"/>
  <c r="K18" i="3" s="1"/>
  <c r="N18" i="3" s="1"/>
  <c r="O18" i="3" s="1"/>
  <c r="F17" i="3"/>
  <c r="H17" i="3" s="1"/>
  <c r="E17" i="3"/>
  <c r="I17" i="3" s="1"/>
  <c r="J17" i="3" s="1"/>
  <c r="K17" i="3" s="1"/>
  <c r="N17" i="3" s="1"/>
  <c r="O17" i="3" s="1"/>
  <c r="F16" i="3"/>
  <c r="H16" i="3" s="1"/>
  <c r="E16" i="3"/>
  <c r="I16" i="3" s="1"/>
  <c r="J16" i="3" s="1"/>
  <c r="K16" i="3" s="1"/>
  <c r="N16" i="3" s="1"/>
  <c r="O16" i="3" s="1"/>
  <c r="F15" i="3"/>
  <c r="H15" i="3" s="1"/>
  <c r="E15" i="3"/>
  <c r="I15" i="3" s="1"/>
  <c r="J15" i="3" s="1"/>
  <c r="K15" i="3" s="1"/>
  <c r="N15" i="3" s="1"/>
  <c r="O15" i="3" s="1"/>
  <c r="F14" i="3"/>
  <c r="H14" i="3" s="1"/>
  <c r="E14" i="3"/>
  <c r="I14" i="3" s="1"/>
  <c r="J14" i="3" s="1"/>
  <c r="K14" i="3" s="1"/>
  <c r="N14" i="3" s="1"/>
  <c r="O14" i="3" s="1"/>
  <c r="F13" i="3"/>
  <c r="H13" i="3" s="1"/>
  <c r="E13" i="3"/>
  <c r="I13" i="3" s="1"/>
  <c r="J13" i="3" s="1"/>
  <c r="K13" i="3" s="1"/>
  <c r="N13" i="3" s="1"/>
  <c r="O13" i="3" s="1"/>
  <c r="I12" i="3"/>
  <c r="J12" i="3" s="1"/>
  <c r="K12" i="3" s="1"/>
  <c r="N12" i="3" s="1"/>
  <c r="O12" i="3" s="1"/>
  <c r="H12" i="3"/>
  <c r="F12" i="3"/>
  <c r="E12" i="3"/>
  <c r="F11" i="3"/>
  <c r="H11" i="3" s="1"/>
  <c r="E11" i="3"/>
  <c r="I11" i="3" s="1"/>
  <c r="J11" i="3" s="1"/>
  <c r="K11" i="3" s="1"/>
  <c r="N11" i="3" s="1"/>
  <c r="O11" i="3" s="1"/>
  <c r="I10" i="3"/>
  <c r="J10" i="3" s="1"/>
  <c r="F10" i="3"/>
  <c r="H10" i="3" s="1"/>
  <c r="E10" i="3"/>
  <c r="F9" i="3"/>
  <c r="H9" i="3" s="1"/>
  <c r="E9" i="3"/>
  <c r="I9" i="3" s="1"/>
  <c r="J9" i="3" s="1"/>
  <c r="K9" i="3" s="1"/>
  <c r="N9" i="3" s="1"/>
  <c r="O9" i="3" s="1"/>
  <c r="F8" i="3"/>
  <c r="H8" i="3" s="1"/>
  <c r="E8" i="3"/>
  <c r="I8" i="3" s="1"/>
  <c r="J8" i="3" s="1"/>
  <c r="K8" i="3" s="1"/>
  <c r="N8" i="3" s="1"/>
  <c r="O8" i="3" s="1"/>
  <c r="F7" i="3"/>
  <c r="H7" i="3" s="1"/>
  <c r="E7" i="3"/>
  <c r="I7" i="3" s="1"/>
  <c r="F6" i="3"/>
  <c r="H6" i="3" s="1"/>
  <c r="E6" i="3"/>
  <c r="I6" i="3" s="1"/>
  <c r="F5" i="3"/>
  <c r="H5" i="3" s="1"/>
  <c r="E5" i="3"/>
  <c r="I5" i="3" s="1"/>
  <c r="J5" i="3" s="1"/>
  <c r="K5" i="3" s="1"/>
  <c r="N5" i="3" s="1"/>
  <c r="O5" i="3" s="1"/>
  <c r="H4" i="3"/>
  <c r="E4" i="3"/>
  <c r="I4" i="3" s="1"/>
  <c r="I3" i="3"/>
  <c r="H3" i="3"/>
  <c r="F3" i="3"/>
  <c r="E3" i="3"/>
  <c r="F2" i="3"/>
  <c r="H2" i="3" s="1"/>
  <c r="E2" i="3"/>
  <c r="I2" i="3" s="1"/>
  <c r="J18" i="1"/>
  <c r="J17" i="1"/>
  <c r="J16" i="1"/>
  <c r="J15" i="1"/>
  <c r="J14" i="1"/>
  <c r="J13" i="1"/>
  <c r="J12" i="1"/>
  <c r="J11" i="1"/>
  <c r="J10" i="1"/>
  <c r="J9" i="1"/>
  <c r="J7" i="1"/>
  <c r="J6" i="1"/>
  <c r="J5" i="1"/>
  <c r="J4" i="1"/>
  <c r="J3" i="1"/>
  <c r="J6" i="3" l="1"/>
  <c r="K6" i="3" s="1"/>
  <c r="N6" i="3" s="1"/>
  <c r="O6" i="3" s="1"/>
  <c r="J7" i="3"/>
  <c r="K7" i="3" s="1"/>
  <c r="N7" i="3" s="1"/>
  <c r="O7" i="3" s="1"/>
  <c r="J2" i="3"/>
  <c r="K2" i="3" s="1"/>
  <c r="N2" i="3" s="1"/>
  <c r="O2" i="3" s="1"/>
  <c r="K10" i="3"/>
  <c r="N10" i="3" s="1"/>
  <c r="O10" i="3" s="1"/>
  <c r="J3" i="3"/>
  <c r="K3" i="3" s="1"/>
  <c r="N3" i="3" s="1"/>
  <c r="O3" i="3" s="1"/>
  <c r="J4" i="3"/>
  <c r="K4" i="3" s="1"/>
  <c r="N4" i="3" s="1"/>
  <c r="O4" i="3" s="1"/>
  <c r="K19" i="3"/>
  <c r="N19" i="3" s="1"/>
  <c r="O19" i="3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F2" i="1"/>
  <c r="H2" i="1" s="1"/>
  <c r="D9" i="2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J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J19" i="1" s="1"/>
  <c r="E20" i="1"/>
  <c r="I20" i="1" s="1"/>
  <c r="J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E2" i="1"/>
  <c r="I2" i="1" s="1"/>
  <c r="K9" i="1" l="1"/>
  <c r="N9" i="1" s="1"/>
  <c r="O9" i="1" s="1"/>
  <c r="K8" i="1"/>
  <c r="N8" i="1" s="1"/>
  <c r="O8" i="1" s="1"/>
  <c r="J2" i="1"/>
  <c r="K4" i="1" l="1"/>
  <c r="N4" i="1" s="1"/>
  <c r="O4" i="1" s="1"/>
  <c r="K7" i="1"/>
  <c r="N7" i="1" s="1"/>
  <c r="O7" i="1" s="1"/>
  <c r="K12" i="1"/>
  <c r="N12" i="1" s="1"/>
  <c r="O12" i="1" s="1"/>
  <c r="K14" i="1"/>
  <c r="N14" i="1" s="1"/>
  <c r="O14" i="1" s="1"/>
  <c r="K19" i="1"/>
  <c r="N19" i="1" s="1"/>
  <c r="O19" i="1" s="1"/>
  <c r="K13" i="1"/>
  <c r="N13" i="1" s="1"/>
  <c r="O13" i="1" s="1"/>
  <c r="K15" i="1"/>
  <c r="N15" i="1" s="1"/>
  <c r="O15" i="1" s="1"/>
  <c r="K16" i="1"/>
  <c r="N16" i="1" s="1"/>
  <c r="O16" i="1" s="1"/>
  <c r="K20" i="1"/>
  <c r="N20" i="1" s="1"/>
  <c r="O20" i="1" s="1"/>
  <c r="K17" i="1"/>
  <c r="N17" i="1" s="1"/>
  <c r="O17" i="1" s="1"/>
  <c r="K18" i="1"/>
  <c r="N18" i="1" s="1"/>
  <c r="O18" i="1" s="1"/>
  <c r="K3" i="1"/>
  <c r="N3" i="1" s="1"/>
  <c r="O3" i="1" s="1"/>
  <c r="K5" i="1"/>
  <c r="N5" i="1" s="1"/>
  <c r="O5" i="1" s="1"/>
  <c r="K6" i="1"/>
  <c r="N6" i="1" s="1"/>
  <c r="O6" i="1" s="1"/>
  <c r="K2" i="1"/>
  <c r="N2" i="1" s="1"/>
  <c r="O2" i="1" s="1"/>
  <c r="K10" i="1"/>
  <c r="N10" i="1" s="1"/>
  <c r="O10" i="1" s="1"/>
  <c r="K11" i="1"/>
  <c r="N11" i="1" s="1"/>
  <c r="O11" i="1" s="1"/>
</calcChain>
</file>

<file path=xl/sharedStrings.xml><?xml version="1.0" encoding="utf-8"?>
<sst xmlns="http://schemas.openxmlformats.org/spreadsheetml/2006/main" count="313" uniqueCount="114">
  <si>
    <t>STT</t>
  </si>
  <si>
    <t>Sản Phẩm</t>
  </si>
  <si>
    <t>Đơn Giá</t>
  </si>
  <si>
    <t xml:space="preserve">Abutment Titan </t>
  </si>
  <si>
    <t>Abutment Titan sử dụng cho Implant cao cấp</t>
  </si>
  <si>
    <t>Abutment Sứ</t>
  </si>
  <si>
    <t>Abutment Sứ sử dụng cho Implant cao cấp</t>
  </si>
  <si>
    <t>Cylinder Multi</t>
  </si>
  <si>
    <t>Nâng xoang kín</t>
  </si>
  <si>
    <t>Nâng xoang hở</t>
  </si>
  <si>
    <t>Ghép xương vào ổ nhổ răng (không dùng màng)</t>
  </si>
  <si>
    <t>Ghép xương vào ổ nhổ răng (có dùng màng)</t>
  </si>
  <si>
    <t>Ghép xương theo chiều ngang mức 1</t>
  </si>
  <si>
    <t>Ghép xương theo chiều ngang mức 2</t>
  </si>
  <si>
    <t>Ghép xương theo chiều đứng</t>
  </si>
  <si>
    <t>Abutment tạm + răng nhựa tạm</t>
  </si>
  <si>
    <t>Nướu thẩm mỹ</t>
  </si>
  <si>
    <t>Thanh Hydrid đúc</t>
  </si>
  <si>
    <t>Thanh Hydrid Cad Cam</t>
  </si>
  <si>
    <t>Hàm tạm</t>
  </si>
  <si>
    <t xml:space="preserve">Răng nhựa tạm </t>
  </si>
  <si>
    <t>Phẫu thuật lấy trụ implant cũ</t>
  </si>
  <si>
    <t>Copping trụ thường</t>
  </si>
  <si>
    <t>Copping trụ cao cấp</t>
  </si>
  <si>
    <t>Healing trụ thường</t>
  </si>
  <si>
    <t>Healing trụ cao cấp</t>
  </si>
  <si>
    <t>Tiền mê</t>
  </si>
  <si>
    <t xml:space="preserve">All on 4 </t>
  </si>
  <si>
    <t>Biotem Titan</t>
  </si>
  <si>
    <t>Biotem full sứ</t>
  </si>
  <si>
    <t>Dentium Hàn Titan</t>
  </si>
  <si>
    <t>Dentium Hàn Full sứ</t>
  </si>
  <si>
    <t>Dentium Mỹ Titan</t>
  </si>
  <si>
    <t>Dentium Mỹ Full sứ</t>
  </si>
  <si>
    <t>All on 6</t>
  </si>
  <si>
    <t>Straumann Thuỵ Sĩ Titan</t>
  </si>
  <si>
    <t>Straumann Thuỵ Sĩ full sứ</t>
  </si>
  <si>
    <t>Giá sau giảm</t>
  </si>
  <si>
    <t>Trụ implant Biotem - bh 5 năm</t>
  </si>
  <si>
    <t>Trụ implant Biotem sứ - bh 5 năm</t>
  </si>
  <si>
    <t>Trụ implant Dentium Hàn Titan - bh 7 năm</t>
  </si>
  <si>
    <t>Trụ implant Dentium Hàn Full sứ - bh 7 năm</t>
  </si>
  <si>
    <t>Trụ implant Dentium Mỹ Titan - bh 25 năm</t>
  </si>
  <si>
    <t>Trụ implant Dentium Mỹ Full sứ - bh 25 năm</t>
  </si>
  <si>
    <t>Trụ implant Straumann Thuỵ Sĩ Titan - bh trọn đời</t>
  </si>
  <si>
    <t>Trụ implant Straumann Thuỵ Sĩ full sứ - bh trọn đời</t>
  </si>
  <si>
    <t>Giá niêm yết</t>
  </si>
  <si>
    <t>Đơn giá (VNĐ) 
Chưa bao gồm (ABUTMENT)</t>
  </si>
  <si>
    <t>Nhà sản xuất</t>
  </si>
  <si>
    <t>Hàn Quốc</t>
  </si>
  <si>
    <t>Mỹ</t>
  </si>
  <si>
    <t>Pháp</t>
  </si>
  <si>
    <t>Italia</t>
  </si>
  <si>
    <t>Thụy Sĩ</t>
  </si>
  <si>
    <t xml:space="preserve"> Thụy Sĩ </t>
  </si>
  <si>
    <t xml:space="preserve">Thụy Sĩ </t>
  </si>
  <si>
    <t>TiUltra</t>
  </si>
  <si>
    <t xml:space="preserve">Italia </t>
  </si>
  <si>
    <t>Tiền</t>
  </si>
  <si>
    <t>Chiếc</t>
  </si>
  <si>
    <t>Răng</t>
  </si>
  <si>
    <t>Phân hàm</t>
  </si>
  <si>
    <t>Thời gian
 bảo hành trụ Implant</t>
  </si>
  <si>
    <t>2 năm</t>
  </si>
  <si>
    <t>7 năm</t>
  </si>
  <si>
    <t>8 năm</t>
  </si>
  <si>
    <t>20 năm</t>
  </si>
  <si>
    <t>25 năm</t>
  </si>
  <si>
    <t>30 năm</t>
  </si>
  <si>
    <t>35 năm</t>
  </si>
  <si>
    <t>Trọn đời</t>
  </si>
  <si>
    <t>5 năm</t>
  </si>
  <si>
    <t>10 năm</t>
  </si>
  <si>
    <t xml:space="preserve">Răng sứ Titan trên Implant </t>
  </si>
  <si>
    <t>Việt Nam</t>
  </si>
  <si>
    <t>Đức</t>
  </si>
  <si>
    <t>15 năm</t>
  </si>
  <si>
    <t xml:space="preserve">10 năm </t>
  </si>
  <si>
    <t xml:space="preserve">Implant Biotem </t>
  </si>
  <si>
    <t xml:space="preserve">Implant Dentium </t>
  </si>
  <si>
    <t>Implant Dio</t>
  </si>
  <si>
    <t xml:space="preserve">Implant Osstem </t>
  </si>
  <si>
    <t>Implant Hiossen</t>
  </si>
  <si>
    <t xml:space="preserve">Implant Anthogyr </t>
  </si>
  <si>
    <t xml:space="preserve">Implant Megagen </t>
  </si>
  <si>
    <t>Implant Tekka Global D</t>
  </si>
  <si>
    <t xml:space="preserve">Implant JD </t>
  </si>
  <si>
    <t>Implant SIC</t>
  </si>
  <si>
    <t>Implant Neodent</t>
  </si>
  <si>
    <t xml:space="preserve">Implant Nobel Biocare Active </t>
  </si>
  <si>
    <t xml:space="preserve">Implant Kontact </t>
  </si>
  <si>
    <t>Implant  Traumann SLA</t>
  </si>
  <si>
    <t>Implant Straumann SL Active</t>
  </si>
  <si>
    <t xml:space="preserve">Implant Nobel TiUltra </t>
  </si>
  <si>
    <t xml:space="preserve">Implant chân bướm </t>
  </si>
  <si>
    <t xml:space="preserve">Implant Zygoma </t>
  </si>
  <si>
    <t xml:space="preserve">Răng sứ Cercon HT trên implant </t>
  </si>
  <si>
    <t>Răng sứ Ceramill Zolid  trên implant</t>
  </si>
  <si>
    <t xml:space="preserve">Răng sứ Nacera trên implant </t>
  </si>
  <si>
    <t>Răng sứ Lava trên implant</t>
  </si>
  <si>
    <t>Khuyến mãi</t>
  </si>
  <si>
    <t xml:space="preserve">Răng sứ trên Implant </t>
  </si>
  <si>
    <t>Cost</t>
  </si>
  <si>
    <t>COST (ĐÃ BAO GỒM ABUTMENT)</t>
  </si>
  <si>
    <t>Đơn giá bao gồm Abutment</t>
  </si>
  <si>
    <t>BIẾN PHÍ</t>
  </si>
  <si>
    <t>Ghi chú</t>
  </si>
  <si>
    <t>COST (ĐÃ BAO GỒM ABUTMENT+ BIẾN PHÍ)</t>
  </si>
  <si>
    <t>% Lợi nhuận</t>
  </si>
  <si>
    <t>Số tiền lời</t>
  </si>
  <si>
    <t>VAT</t>
  </si>
  <si>
    <t>Giới thiệu</t>
  </si>
  <si>
    <t>Lợi nhuận còn lại</t>
  </si>
  <si>
    <t>A Hiền sẽ gửi giá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</si>
</sst>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charset val="163"/>
      <scheme val="minor"/>
    </font>
    <font>
      <b/>
      <sz val="12"/>
      <color rgb="FFFF0000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sz val="16"/>
      <color rgb="FFFF0000"/>
      <name val="Times New Roman"/>
      <family val="1"/>
    </font>
    <font>
      <b/>
      <sz val="12"/>
      <name val="Times New Roman"/>
      <family val="1"/>
      <charset val="163"/>
    </font>
    <font>
      <b/>
      <sz val="16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center" vertical="center" wrapText="1"/>
    </xf>
    <xf numFmtId="0" fontId="3" fillId="3" borderId="1" xfId="0" applyFont="1" applyFill="1" applyBorder="1"/>
    <xf numFmtId="41" fontId="3" fillId="0" borderId="1" xfId="1" applyFont="1" applyBorder="1"/>
    <xf numFmtId="41" fontId="0" fillId="0" borderId="0" xfId="0" applyNumberFormat="1"/>
    <xf numFmtId="41" fontId="0" fillId="0" borderId="0" xfId="1" applyFont="1"/>
    <xf numFmtId="0" fontId="0" fillId="0" borderId="1" xfId="0" applyBorder="1"/>
    <xf numFmtId="41" fontId="0" fillId="0" borderId="1" xfId="1" applyFont="1" applyBorder="1"/>
    <xf numFmtId="41" fontId="0" fillId="0" borderId="2" xfId="1" applyFont="1" applyBorder="1"/>
    <xf numFmtId="41" fontId="0" fillId="0" borderId="0" xfId="1" applyFont="1" applyBorder="1"/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/>
    </xf>
    <xf numFmtId="9" fontId="3" fillId="0" borderId="1" xfId="2" applyFont="1" applyBorder="1" applyAlignment="1">
      <alignment horizontal="center" vertical="center" wrapText="1"/>
    </xf>
    <xf numFmtId="9" fontId="5" fillId="0" borderId="1" xfId="2" applyFont="1" applyBorder="1" applyAlignment="1">
      <alignment horizontal="center" vertical="center" wrapText="1"/>
    </xf>
    <xf numFmtId="9" fontId="6" fillId="0" borderId="1" xfId="2" applyFont="1" applyBorder="1" applyAlignment="1">
      <alignment horizontal="center" vertical="center" wrapText="1"/>
    </xf>
    <xf numFmtId="41" fontId="7" fillId="2" borderId="1" xfId="1" applyFont="1" applyFill="1" applyBorder="1" applyAlignment="1">
      <alignment horizontal="center" vertical="center" wrapText="1"/>
    </xf>
    <xf numFmtId="9" fontId="8" fillId="0" borderId="1" xfId="2" applyFont="1" applyBorder="1" applyAlignment="1">
      <alignment horizontal="center" vertical="center" wrapText="1"/>
    </xf>
    <xf numFmtId="41" fontId="8" fillId="0" borderId="1" xfId="2" applyNumberFormat="1" applyFont="1" applyBorder="1" applyAlignment="1">
      <alignment horizontal="center" vertical="center" wrapText="1"/>
    </xf>
    <xf numFmtId="41" fontId="8" fillId="0" borderId="1" xfId="1" applyFont="1" applyBorder="1" applyAlignment="1">
      <alignment horizontal="center" vertical="center" wrapText="1"/>
    </xf>
    <xf numFmtId="0" fontId="9" fillId="0" borderId="0" xfId="0" applyFont="1"/>
    <xf numFmtId="41" fontId="7" fillId="0" borderId="1" xfId="2" applyNumberFormat="1" applyFont="1" applyBorder="1" applyAlignment="1">
      <alignment horizontal="center" vertical="center" wrapText="1"/>
    </xf>
    <xf numFmtId="9" fontId="10" fillId="0" borderId="1" xfId="2" applyFont="1" applyBorder="1" applyAlignment="1">
      <alignment horizontal="center" vertical="center" wrapText="1"/>
    </xf>
    <xf numFmtId="41" fontId="11" fillId="2" borderId="1" xfId="1" applyFont="1" applyFill="1" applyBorder="1" applyAlignment="1">
      <alignment horizontal="center" vertical="center" wrapText="1"/>
    </xf>
    <xf numFmtId="9" fontId="12" fillId="0" borderId="1" xfId="2" applyFont="1" applyBorder="1" applyAlignment="1">
      <alignment horizontal="center" vertical="center" wrapText="1"/>
    </xf>
    <xf numFmtId="9" fontId="6" fillId="3" borderId="1" xfId="2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76200</xdr:colOff>
      <xdr:row>0</xdr:row>
      <xdr:rowOff>747713</xdr:rowOff>
    </xdr:from>
    <xdr:to>
      <xdr:col>16</xdr:col>
      <xdr:colOff>19051</xdr:colOff>
      <xdr:row>6</xdr:row>
      <xdr:rowOff>328613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19C4FD-77E0-1CE8-9F6B-AB28228FA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63938" y="747713"/>
          <a:ext cx="1719263" cy="2052638"/>
        </a:xfrm>
        <a:prstGeom prst="rect">
          <a:avLst/>
        </a:prstGeom>
      </xdr:spPr>
    </xdr:pic>
    <xdr:clientData/>
  </xdr:twoCellAnchor>
  <xdr:twoCellAnchor editAs="oneCell">
    <xdr:from>
      <xdr:col>15</xdr:col>
      <xdr:colOff>94735</xdr:colOff>
      <xdr:row>17</xdr:row>
      <xdr:rowOff>328612</xdr:rowOff>
    </xdr:from>
    <xdr:to>
      <xdr:col>15</xdr:col>
      <xdr:colOff>1200150</xdr:colOff>
      <xdr:row>20</xdr:row>
      <xdr:rowOff>83549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2EC22F-2A30-E452-7861-C31134C8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2473" y="6572250"/>
          <a:ext cx="1105415" cy="783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76200</xdr:colOff>
      <xdr:row>0</xdr:row>
      <xdr:rowOff>747713</xdr:rowOff>
    </xdr:from>
    <xdr:to>
      <xdr:col>16</xdr:col>
      <xdr:colOff>323851</xdr:colOff>
      <xdr:row>11</xdr:row>
      <xdr:rowOff>147638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AFADA-9E6D-4C78-839B-D08C1DD78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8388" y="747713"/>
          <a:ext cx="1719263" cy="2052638"/>
        </a:xfrm>
        <a:prstGeom prst="rect">
          <a:avLst/>
        </a:prstGeom>
      </xdr:spPr>
    </xdr:pic>
    <xdr:clientData/>
  </xdr:twoCellAnchor>
  <xdr:twoCellAnchor editAs="oneCell">
    <xdr:from>
      <xdr:col>15</xdr:col>
      <xdr:colOff>94735</xdr:colOff>
      <xdr:row>17</xdr:row>
      <xdr:rowOff>328612</xdr:rowOff>
    </xdr:from>
    <xdr:to>
      <xdr:col>15</xdr:col>
      <xdr:colOff>1352550</xdr:colOff>
      <xdr:row>22</xdr:row>
      <xdr:rowOff>21636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5B3C16-8C33-4252-8FDD-6B88D3F3A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06923" y="6572250"/>
          <a:ext cx="1105415" cy="783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5EAF-5495-BE48-AB52-52CC3B776D00}">
  <dimension ref="A1:R51"/>
  <sheetViews>
    <sheetView workbookViewId="0">
      <pane xSplit="3" ySplit="1" topLeftCell="G2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baseColWidth="10" defaultColWidth="10.6640625" defaultRowHeight="27" customHeight="1" x14ac:dyDescent="0.2"/>
  <cols>
    <col min="1" max="1" width="6.33203125" customWidth="1"/>
    <col min="2" max="2" width="45.1640625" customWidth="1"/>
    <col min="3" max="11" width="17.1640625" customWidth="1"/>
    <col min="12" max="12" width="8.1640625" customWidth="1"/>
    <col min="13" max="13" width="8.6640625" customWidth="1"/>
    <col min="14" max="14" width="8.6640625" style="24" customWidth="1"/>
    <col min="15" max="15" width="17.1640625" style="24" customWidth="1"/>
    <col min="16" max="16" width="20.6640625" customWidth="1"/>
    <col min="17" max="17" width="15.1640625" customWidth="1"/>
    <col min="18" max="18" width="12.83203125" customWidth="1"/>
  </cols>
  <sheetData>
    <row r="1" spans="1:18" ht="59.75" customHeight="1" x14ac:dyDescent="0.2">
      <c r="A1" s="12" t="s">
        <v>0</v>
      </c>
      <c r="B1" s="12" t="s">
        <v>1</v>
      </c>
      <c r="C1" s="13" t="s">
        <v>2</v>
      </c>
      <c r="D1" s="13" t="s">
        <v>48</v>
      </c>
      <c r="E1" s="14" t="s">
        <v>47</v>
      </c>
      <c r="F1" s="14" t="s">
        <v>103</v>
      </c>
      <c r="G1" s="14" t="s">
        <v>105</v>
      </c>
      <c r="H1" s="14" t="s">
        <v>107</v>
      </c>
      <c r="I1" s="14" t="s">
        <v>47</v>
      </c>
      <c r="J1" s="14" t="s">
        <v>104</v>
      </c>
      <c r="K1" s="14" t="s">
        <v>108</v>
      </c>
      <c r="L1" s="14" t="s">
        <v>110</v>
      </c>
      <c r="M1" s="14" t="s">
        <v>111</v>
      </c>
      <c r="N1" s="27" t="s">
        <v>112</v>
      </c>
      <c r="O1" s="20" t="s">
        <v>109</v>
      </c>
      <c r="P1" s="14" t="s">
        <v>106</v>
      </c>
      <c r="Q1" s="15" t="s">
        <v>62</v>
      </c>
      <c r="R1" s="16" t="s">
        <v>100</v>
      </c>
    </row>
    <row r="2" spans="1:18" ht="27" customHeight="1" x14ac:dyDescent="0.2">
      <c r="A2" s="1">
        <v>1</v>
      </c>
      <c r="B2" s="2" t="s">
        <v>78</v>
      </c>
      <c r="C2" s="3">
        <v>3900000</v>
      </c>
      <c r="D2" s="3" t="s">
        <v>49</v>
      </c>
      <c r="E2" s="3">
        <f>C2+(C2*10%)</f>
        <v>4290000</v>
      </c>
      <c r="F2" s="3">
        <f>1040000+800000</f>
        <v>1840000</v>
      </c>
      <c r="G2" s="3">
        <v>4604900</v>
      </c>
      <c r="H2" s="3">
        <f>F2+G2</f>
        <v>6444900</v>
      </c>
      <c r="I2" s="3">
        <f>ROUND(VALUE(E2),-5)</f>
        <v>4300000</v>
      </c>
      <c r="J2" s="3">
        <f>I2+I21</f>
        <v>8700000</v>
      </c>
      <c r="K2" s="17">
        <f t="shared" ref="K2:K20" si="0">((J2-H2)/J2)*100%</f>
        <v>0.25920689655172413</v>
      </c>
      <c r="L2" s="17">
        <v>0.1</v>
      </c>
      <c r="M2" s="17">
        <v>0.1</v>
      </c>
      <c r="N2" s="21">
        <f>K2-L2-M2</f>
        <v>5.920689655172412E-2</v>
      </c>
      <c r="O2" s="22">
        <f t="shared" ref="O2:O20" si="1">N2*J2</f>
        <v>515099.99999999983</v>
      </c>
      <c r="P2" s="17"/>
      <c r="Q2" s="8" t="s">
        <v>63</v>
      </c>
      <c r="R2" s="8"/>
    </row>
    <row r="3" spans="1:18" ht="27" customHeight="1" x14ac:dyDescent="0.2">
      <c r="A3" s="1">
        <v>2</v>
      </c>
      <c r="B3" s="2" t="s">
        <v>79</v>
      </c>
      <c r="C3" s="3">
        <v>6900000</v>
      </c>
      <c r="D3" s="3" t="s">
        <v>49</v>
      </c>
      <c r="E3" s="3">
        <f t="shared" ref="E3:E50" si="2">C3+(C3*10%)</f>
        <v>7590000</v>
      </c>
      <c r="F3" s="3">
        <f>2500000+800000</f>
        <v>3300000</v>
      </c>
      <c r="G3" s="3">
        <v>4604900</v>
      </c>
      <c r="H3" s="3">
        <f t="shared" ref="H3:H20" si="3">F3+G3</f>
        <v>7904900</v>
      </c>
      <c r="I3" s="3">
        <f>ROUND(VALUE(E3),-5)</f>
        <v>7600000</v>
      </c>
      <c r="J3" s="3">
        <f>I3+I21</f>
        <v>12000000</v>
      </c>
      <c r="K3" s="18">
        <f t="shared" si="0"/>
        <v>0.34125833333333333</v>
      </c>
      <c r="L3" s="17">
        <v>0.1</v>
      </c>
      <c r="M3" s="17">
        <v>0.1</v>
      </c>
      <c r="N3" s="26">
        <f t="shared" ref="N3:N20" si="4">K3-L3-M3</f>
        <v>0.14125833333333332</v>
      </c>
      <c r="O3" s="25">
        <f t="shared" si="1"/>
        <v>1695099.9999999998</v>
      </c>
      <c r="P3" s="17"/>
      <c r="Q3" s="8" t="s">
        <v>64</v>
      </c>
      <c r="R3" s="8"/>
    </row>
    <row r="4" spans="1:18" ht="27" customHeight="1" x14ac:dyDescent="0.2">
      <c r="A4" s="1">
        <v>3</v>
      </c>
      <c r="B4" s="2" t="s">
        <v>80</v>
      </c>
      <c r="C4" s="3">
        <v>7800000</v>
      </c>
      <c r="D4" s="3" t="s">
        <v>49</v>
      </c>
      <c r="E4" s="3">
        <f t="shared" si="2"/>
        <v>8580000</v>
      </c>
      <c r="F4" s="3">
        <f>4208000+800000</f>
        <v>5008000</v>
      </c>
      <c r="G4" s="3">
        <v>4604900</v>
      </c>
      <c r="H4" s="3">
        <f t="shared" si="3"/>
        <v>9612900</v>
      </c>
      <c r="I4" s="3">
        <f>ROUND(VALUE(E4),-5)</f>
        <v>8600000</v>
      </c>
      <c r="J4" s="3">
        <f>I4+I21</f>
        <v>13000000</v>
      </c>
      <c r="K4" s="17">
        <f t="shared" si="0"/>
        <v>0.26054615384615387</v>
      </c>
      <c r="L4" s="17">
        <v>0.1</v>
      </c>
      <c r="M4" s="17">
        <v>0.1</v>
      </c>
      <c r="N4" s="21">
        <f t="shared" si="4"/>
        <v>6.0546153846153861E-2</v>
      </c>
      <c r="O4" s="22">
        <f t="shared" si="1"/>
        <v>787100.00000000023</v>
      </c>
      <c r="P4" s="17"/>
      <c r="Q4" s="8" t="s">
        <v>65</v>
      </c>
      <c r="R4" s="8"/>
    </row>
    <row r="5" spans="1:18" ht="27" customHeight="1" x14ac:dyDescent="0.2">
      <c r="A5" s="1">
        <v>4</v>
      </c>
      <c r="B5" s="2" t="s">
        <v>81</v>
      </c>
      <c r="C5" s="3">
        <v>9900000</v>
      </c>
      <c r="D5" s="3" t="s">
        <v>49</v>
      </c>
      <c r="E5" s="3">
        <f t="shared" si="2"/>
        <v>10890000</v>
      </c>
      <c r="F5" s="3">
        <f>3200000+800000</f>
        <v>4000000</v>
      </c>
      <c r="G5" s="3">
        <v>4604900</v>
      </c>
      <c r="H5" s="3">
        <f t="shared" si="3"/>
        <v>8604900</v>
      </c>
      <c r="I5" s="3">
        <f>ROUND(VALUE(E5),-5)</f>
        <v>10900000</v>
      </c>
      <c r="J5" s="3">
        <f>I5+I21</f>
        <v>15300000</v>
      </c>
      <c r="K5" s="18">
        <f t="shared" si="0"/>
        <v>0.43758823529411767</v>
      </c>
      <c r="L5" s="17">
        <v>0.1</v>
      </c>
      <c r="M5" s="17">
        <v>0.1</v>
      </c>
      <c r="N5" s="21">
        <f t="shared" si="4"/>
        <v>0.23758823529411763</v>
      </c>
      <c r="O5" s="25">
        <f t="shared" si="1"/>
        <v>3635099.9999999995</v>
      </c>
      <c r="P5" s="17"/>
      <c r="Q5" s="8" t="s">
        <v>66</v>
      </c>
      <c r="R5" s="8"/>
    </row>
    <row r="6" spans="1:18" ht="27" customHeight="1" x14ac:dyDescent="0.2">
      <c r="A6" s="1">
        <v>5</v>
      </c>
      <c r="B6" s="2" t="s">
        <v>82</v>
      </c>
      <c r="C6" s="3">
        <v>11900000</v>
      </c>
      <c r="D6" s="3" t="s">
        <v>50</v>
      </c>
      <c r="E6" s="3">
        <f t="shared" si="2"/>
        <v>13090000</v>
      </c>
      <c r="F6" s="3">
        <f>3800000+800000</f>
        <v>4600000</v>
      </c>
      <c r="G6" s="3">
        <v>4604900</v>
      </c>
      <c r="H6" s="3">
        <f t="shared" si="3"/>
        <v>9204900</v>
      </c>
      <c r="I6" s="3">
        <f t="shared" ref="I6:I49" si="5">ROUND(VALUE(E6),-5)</f>
        <v>13100000</v>
      </c>
      <c r="J6" s="3">
        <f>I6+I21</f>
        <v>17500000</v>
      </c>
      <c r="K6" s="18">
        <f t="shared" si="0"/>
        <v>0.47400571428571431</v>
      </c>
      <c r="L6" s="17">
        <v>0.1</v>
      </c>
      <c r="M6" s="17">
        <v>0.1</v>
      </c>
      <c r="N6" s="21">
        <f t="shared" si="4"/>
        <v>0.2740057142857143</v>
      </c>
      <c r="O6" s="25">
        <f t="shared" si="1"/>
        <v>4795100</v>
      </c>
      <c r="P6" s="17"/>
      <c r="Q6" s="8" t="s">
        <v>66</v>
      </c>
      <c r="R6" s="8"/>
    </row>
    <row r="7" spans="1:18" ht="27" customHeight="1" x14ac:dyDescent="0.2">
      <c r="A7" s="1">
        <v>6</v>
      </c>
      <c r="B7" s="2" t="s">
        <v>83</v>
      </c>
      <c r="C7" s="3">
        <v>12000000</v>
      </c>
      <c r="D7" s="3" t="s">
        <v>51</v>
      </c>
      <c r="E7" s="3">
        <f t="shared" si="2"/>
        <v>13200000</v>
      </c>
      <c r="F7" s="3">
        <f>6170000+800000</f>
        <v>6970000</v>
      </c>
      <c r="G7" s="3">
        <v>4604900</v>
      </c>
      <c r="H7" s="3">
        <f t="shared" si="3"/>
        <v>11574900</v>
      </c>
      <c r="I7" s="3">
        <f t="shared" si="5"/>
        <v>13200000</v>
      </c>
      <c r="J7" s="3">
        <f>I7+I21</f>
        <v>17600000</v>
      </c>
      <c r="K7" s="17">
        <f t="shared" si="0"/>
        <v>0.34233522727272725</v>
      </c>
      <c r="L7" s="17">
        <v>0.1</v>
      </c>
      <c r="M7" s="17">
        <v>0.1</v>
      </c>
      <c r="N7" s="21">
        <f t="shared" si="4"/>
        <v>0.14233522727272724</v>
      </c>
      <c r="O7" s="22">
        <f t="shared" si="1"/>
        <v>2505099.9999999995</v>
      </c>
      <c r="P7" s="17"/>
      <c r="Q7" s="8" t="s">
        <v>66</v>
      </c>
      <c r="R7" s="8"/>
    </row>
    <row r="8" spans="1:18" ht="27" customHeight="1" x14ac:dyDescent="0.2">
      <c r="A8" s="1">
        <v>7</v>
      </c>
      <c r="B8" s="2" t="s">
        <v>79</v>
      </c>
      <c r="C8" s="3">
        <v>12900000</v>
      </c>
      <c r="D8" s="3" t="s">
        <v>50</v>
      </c>
      <c r="E8" s="3">
        <f t="shared" si="2"/>
        <v>14190000</v>
      </c>
      <c r="F8" s="3">
        <f>3500000+800000</f>
        <v>4300000</v>
      </c>
      <c r="G8" s="3">
        <v>4604900</v>
      </c>
      <c r="H8" s="3">
        <f t="shared" si="3"/>
        <v>8904900</v>
      </c>
      <c r="I8" s="3">
        <f t="shared" si="5"/>
        <v>14200000</v>
      </c>
      <c r="J8" s="3">
        <f>I8+I22</f>
        <v>20800000</v>
      </c>
      <c r="K8" s="18">
        <f t="shared" si="0"/>
        <v>0.57187980769230773</v>
      </c>
      <c r="L8" s="17">
        <v>0.1</v>
      </c>
      <c r="M8" s="17">
        <v>0.1</v>
      </c>
      <c r="N8" s="28">
        <f t="shared" si="4"/>
        <v>0.37187980769230777</v>
      </c>
      <c r="O8" s="25">
        <f t="shared" si="1"/>
        <v>7735100.0000000019</v>
      </c>
      <c r="P8" s="17"/>
      <c r="Q8" s="8" t="s">
        <v>67</v>
      </c>
      <c r="R8" s="8"/>
    </row>
    <row r="9" spans="1:18" ht="27" customHeight="1" x14ac:dyDescent="0.2">
      <c r="A9" s="1">
        <v>8</v>
      </c>
      <c r="B9" s="2" t="s">
        <v>84</v>
      </c>
      <c r="C9" s="3">
        <v>14900000</v>
      </c>
      <c r="D9" s="3" t="s">
        <v>49</v>
      </c>
      <c r="E9" s="3">
        <f t="shared" si="2"/>
        <v>16390000</v>
      </c>
      <c r="F9" s="3">
        <f>4500000+800000</f>
        <v>5300000</v>
      </c>
      <c r="G9" s="3">
        <v>4604900</v>
      </c>
      <c r="H9" s="3">
        <f t="shared" si="3"/>
        <v>9904900</v>
      </c>
      <c r="I9" s="3">
        <f t="shared" si="5"/>
        <v>16400000</v>
      </c>
      <c r="J9" s="3">
        <f>I9+I22</f>
        <v>23000000</v>
      </c>
      <c r="K9" s="18">
        <f t="shared" si="0"/>
        <v>0.56935217391304349</v>
      </c>
      <c r="L9" s="17">
        <v>0.1</v>
      </c>
      <c r="M9" s="17">
        <v>0.1</v>
      </c>
      <c r="N9" s="21">
        <f t="shared" si="4"/>
        <v>0.36935217391304354</v>
      </c>
      <c r="O9" s="25">
        <f t="shared" si="1"/>
        <v>8495100.0000000019</v>
      </c>
      <c r="P9" s="17"/>
      <c r="Q9" s="8" t="s">
        <v>67</v>
      </c>
      <c r="R9" s="8"/>
    </row>
    <row r="10" spans="1:18" ht="27" customHeight="1" x14ac:dyDescent="0.2">
      <c r="A10" s="1">
        <v>9</v>
      </c>
      <c r="B10" s="2" t="s">
        <v>85</v>
      </c>
      <c r="C10" s="3">
        <v>12000000</v>
      </c>
      <c r="D10" s="3" t="s">
        <v>51</v>
      </c>
      <c r="E10" s="3">
        <f t="shared" si="2"/>
        <v>13200000</v>
      </c>
      <c r="F10" s="3">
        <f>7990000+800000</f>
        <v>8790000</v>
      </c>
      <c r="G10" s="3">
        <v>4604900</v>
      </c>
      <c r="H10" s="3">
        <f t="shared" si="3"/>
        <v>13394900</v>
      </c>
      <c r="I10" s="3">
        <f t="shared" si="5"/>
        <v>13200000</v>
      </c>
      <c r="J10" s="3">
        <f>I10+I22</f>
        <v>19800000</v>
      </c>
      <c r="K10" s="17">
        <f t="shared" si="0"/>
        <v>0.32348989898989899</v>
      </c>
      <c r="L10" s="17">
        <v>0.1</v>
      </c>
      <c r="M10" s="17">
        <v>0.1</v>
      </c>
      <c r="N10" s="21">
        <f t="shared" si="4"/>
        <v>0.12348989898989898</v>
      </c>
      <c r="O10" s="22">
        <f t="shared" si="1"/>
        <v>2445100</v>
      </c>
      <c r="P10" s="17"/>
      <c r="Q10" s="8" t="s">
        <v>68</v>
      </c>
      <c r="R10" s="8"/>
    </row>
    <row r="11" spans="1:18" ht="27" customHeight="1" x14ac:dyDescent="0.2">
      <c r="A11" s="1">
        <v>10</v>
      </c>
      <c r="B11" s="2" t="s">
        <v>86</v>
      </c>
      <c r="C11" s="3">
        <v>17900000</v>
      </c>
      <c r="D11" s="3" t="s">
        <v>52</v>
      </c>
      <c r="E11" s="3">
        <f t="shared" si="2"/>
        <v>19690000</v>
      </c>
      <c r="F11" s="3">
        <f>5720000+800000</f>
        <v>6520000</v>
      </c>
      <c r="G11" s="3">
        <v>4604900</v>
      </c>
      <c r="H11" s="3">
        <f t="shared" si="3"/>
        <v>11124900</v>
      </c>
      <c r="I11" s="3">
        <f t="shared" si="5"/>
        <v>19700000</v>
      </c>
      <c r="J11" s="3">
        <f>I11+I22</f>
        <v>26300000</v>
      </c>
      <c r="K11" s="18">
        <f t="shared" si="0"/>
        <v>0.57699999999999996</v>
      </c>
      <c r="L11" s="17">
        <v>0.1</v>
      </c>
      <c r="M11" s="17">
        <v>0.1</v>
      </c>
      <c r="N11" s="29">
        <f t="shared" si="4"/>
        <v>0.377</v>
      </c>
      <c r="O11" s="25">
        <f t="shared" si="1"/>
        <v>9915100</v>
      </c>
      <c r="P11" s="17"/>
      <c r="Q11" s="8" t="s">
        <v>68</v>
      </c>
      <c r="R11" s="8"/>
    </row>
    <row r="12" spans="1:18" ht="27" customHeight="1" x14ac:dyDescent="0.2">
      <c r="A12" s="1">
        <v>11</v>
      </c>
      <c r="B12" s="2" t="s">
        <v>87</v>
      </c>
      <c r="C12" s="3">
        <v>18900000</v>
      </c>
      <c r="D12" s="3" t="s">
        <v>53</v>
      </c>
      <c r="E12" s="3">
        <f t="shared" si="2"/>
        <v>20790000</v>
      </c>
      <c r="F12" s="3">
        <f>8000000+800000</f>
        <v>8800000</v>
      </c>
      <c r="G12" s="3">
        <v>4604900</v>
      </c>
      <c r="H12" s="3">
        <f t="shared" si="3"/>
        <v>13404900</v>
      </c>
      <c r="I12" s="3">
        <f t="shared" si="5"/>
        <v>20800000</v>
      </c>
      <c r="J12" s="3">
        <f>I12+I22</f>
        <v>27400000</v>
      </c>
      <c r="K12" s="18">
        <f t="shared" si="0"/>
        <v>0.51077007299270072</v>
      </c>
      <c r="L12" s="17">
        <v>0.1</v>
      </c>
      <c r="M12" s="17">
        <v>0.1</v>
      </c>
      <c r="N12" s="21">
        <f t="shared" si="4"/>
        <v>0.31077007299270076</v>
      </c>
      <c r="O12" s="25">
        <f t="shared" si="1"/>
        <v>8515100</v>
      </c>
      <c r="P12" s="17"/>
      <c r="Q12" s="8" t="s">
        <v>69</v>
      </c>
      <c r="R12" s="8"/>
    </row>
    <row r="13" spans="1:18" ht="27" customHeight="1" x14ac:dyDescent="0.2">
      <c r="A13" s="1">
        <v>12</v>
      </c>
      <c r="B13" s="2" t="s">
        <v>88</v>
      </c>
      <c r="C13" s="3">
        <v>20000000</v>
      </c>
      <c r="D13" s="3" t="s">
        <v>54</v>
      </c>
      <c r="E13" s="3">
        <f t="shared" si="2"/>
        <v>22000000</v>
      </c>
      <c r="F13" s="3">
        <f>4525000+800000</f>
        <v>5325000</v>
      </c>
      <c r="G13" s="3">
        <v>4604900</v>
      </c>
      <c r="H13" s="3">
        <f t="shared" si="3"/>
        <v>9929900</v>
      </c>
      <c r="I13" s="3">
        <f t="shared" si="5"/>
        <v>22000000</v>
      </c>
      <c r="J13" s="3">
        <f>I13+I22</f>
        <v>28600000</v>
      </c>
      <c r="K13" s="18">
        <f t="shared" si="0"/>
        <v>0.65280069930069928</v>
      </c>
      <c r="L13" s="17">
        <v>0.1</v>
      </c>
      <c r="M13" s="17">
        <v>0.1</v>
      </c>
      <c r="N13" s="19">
        <f t="shared" si="4"/>
        <v>0.45280069930069933</v>
      </c>
      <c r="O13" s="25">
        <f t="shared" si="1"/>
        <v>12950100</v>
      </c>
      <c r="P13" s="17"/>
      <c r="Q13" s="8" t="s">
        <v>69</v>
      </c>
      <c r="R13" s="8"/>
    </row>
    <row r="14" spans="1:18" ht="27" customHeight="1" x14ac:dyDescent="0.2">
      <c r="A14" s="1">
        <v>13</v>
      </c>
      <c r="B14" s="2" t="s">
        <v>89</v>
      </c>
      <c r="C14" s="3">
        <v>21000000</v>
      </c>
      <c r="D14" s="3" t="s">
        <v>50</v>
      </c>
      <c r="E14" s="3">
        <f t="shared" si="2"/>
        <v>23100000</v>
      </c>
      <c r="F14" s="3">
        <f>12000000+800000</f>
        <v>12800000</v>
      </c>
      <c r="G14" s="3">
        <v>4604900</v>
      </c>
      <c r="H14" s="3">
        <f t="shared" si="3"/>
        <v>17404900</v>
      </c>
      <c r="I14" s="3">
        <f t="shared" si="5"/>
        <v>23100000</v>
      </c>
      <c r="J14" s="3">
        <f>I14+I22</f>
        <v>29700000</v>
      </c>
      <c r="K14" s="17">
        <f t="shared" si="0"/>
        <v>0.413976430976431</v>
      </c>
      <c r="L14" s="17">
        <v>0.1</v>
      </c>
      <c r="M14" s="17">
        <v>0.1</v>
      </c>
      <c r="N14" s="21">
        <f t="shared" si="4"/>
        <v>0.21397643097643101</v>
      </c>
      <c r="O14" s="22">
        <f t="shared" si="1"/>
        <v>6355100.0000000009</v>
      </c>
      <c r="P14" s="17"/>
      <c r="Q14" s="8" t="s">
        <v>69</v>
      </c>
      <c r="R14" s="8"/>
    </row>
    <row r="15" spans="1:18" ht="27" customHeight="1" x14ac:dyDescent="0.2">
      <c r="A15" s="1">
        <v>14</v>
      </c>
      <c r="B15" s="2" t="s">
        <v>90</v>
      </c>
      <c r="C15" s="3">
        <v>25000000</v>
      </c>
      <c r="D15" s="3" t="s">
        <v>51</v>
      </c>
      <c r="E15" s="3">
        <f t="shared" si="2"/>
        <v>27500000</v>
      </c>
      <c r="F15" s="3">
        <f>4950000+800000</f>
        <v>5750000</v>
      </c>
      <c r="G15" s="3">
        <v>4604900</v>
      </c>
      <c r="H15" s="3">
        <f t="shared" si="3"/>
        <v>10354900</v>
      </c>
      <c r="I15" s="3">
        <f t="shared" si="5"/>
        <v>27500000</v>
      </c>
      <c r="J15" s="3">
        <f>I15+I22</f>
        <v>34100000</v>
      </c>
      <c r="K15" s="18">
        <f t="shared" si="0"/>
        <v>0.69633724340175951</v>
      </c>
      <c r="L15" s="17">
        <v>0.1</v>
      </c>
      <c r="M15" s="17">
        <v>0.1</v>
      </c>
      <c r="N15" s="19">
        <f t="shared" si="4"/>
        <v>0.49633724340175955</v>
      </c>
      <c r="O15" s="25">
        <f t="shared" si="1"/>
        <v>16925100</v>
      </c>
      <c r="P15" s="17"/>
      <c r="Q15" s="8" t="s">
        <v>69</v>
      </c>
      <c r="R15" s="8"/>
    </row>
    <row r="16" spans="1:18" ht="27" customHeight="1" x14ac:dyDescent="0.2">
      <c r="A16" s="1">
        <v>15</v>
      </c>
      <c r="B16" s="2" t="s">
        <v>91</v>
      </c>
      <c r="C16" s="3">
        <v>21000000</v>
      </c>
      <c r="D16" s="3" t="s">
        <v>53</v>
      </c>
      <c r="E16" s="3">
        <f t="shared" si="2"/>
        <v>23100000</v>
      </c>
      <c r="F16" s="3">
        <f>12000000+800000</f>
        <v>12800000</v>
      </c>
      <c r="G16" s="3">
        <v>4604900</v>
      </c>
      <c r="H16" s="3">
        <f t="shared" si="3"/>
        <v>17404900</v>
      </c>
      <c r="I16" s="3">
        <f t="shared" si="5"/>
        <v>23100000</v>
      </c>
      <c r="J16" s="3">
        <f>I16+I22</f>
        <v>29700000</v>
      </c>
      <c r="K16" s="18">
        <f t="shared" si="0"/>
        <v>0.413976430976431</v>
      </c>
      <c r="L16" s="17">
        <v>0.1</v>
      </c>
      <c r="M16" s="17">
        <v>0.1</v>
      </c>
      <c r="N16" s="21">
        <f t="shared" si="4"/>
        <v>0.21397643097643101</v>
      </c>
      <c r="O16" s="25">
        <f t="shared" si="1"/>
        <v>6355100.0000000009</v>
      </c>
      <c r="P16" s="17"/>
      <c r="Q16" s="8" t="s">
        <v>70</v>
      </c>
      <c r="R16" s="8"/>
    </row>
    <row r="17" spans="1:18" ht="27" customHeight="1" x14ac:dyDescent="0.2">
      <c r="A17" s="1">
        <v>16</v>
      </c>
      <c r="B17" s="2" t="s">
        <v>92</v>
      </c>
      <c r="C17" s="3">
        <v>29900000</v>
      </c>
      <c r="D17" s="3" t="s">
        <v>55</v>
      </c>
      <c r="E17" s="3">
        <f t="shared" si="2"/>
        <v>32890000</v>
      </c>
      <c r="F17" s="3">
        <f>14000000+800000</f>
        <v>14800000</v>
      </c>
      <c r="G17" s="3">
        <v>4604900</v>
      </c>
      <c r="H17" s="3">
        <f t="shared" si="3"/>
        <v>19404900</v>
      </c>
      <c r="I17" s="3">
        <f t="shared" si="5"/>
        <v>32900000</v>
      </c>
      <c r="J17" s="3">
        <f>I17+I22</f>
        <v>39500000</v>
      </c>
      <c r="K17" s="18">
        <f t="shared" si="0"/>
        <v>0.5087367088607595</v>
      </c>
      <c r="L17" s="17">
        <v>0.1</v>
      </c>
      <c r="M17" s="17">
        <v>0.1</v>
      </c>
      <c r="N17" s="21">
        <f t="shared" si="4"/>
        <v>0.30873670886075955</v>
      </c>
      <c r="O17" s="25">
        <f t="shared" si="1"/>
        <v>12195100.000000002</v>
      </c>
      <c r="P17" s="17"/>
      <c r="Q17" s="8" t="s">
        <v>70</v>
      </c>
      <c r="R17" s="8"/>
    </row>
    <row r="18" spans="1:18" ht="27" customHeight="1" x14ac:dyDescent="0.2">
      <c r="A18" s="1">
        <v>17</v>
      </c>
      <c r="B18" s="2" t="s">
        <v>93</v>
      </c>
      <c r="C18" s="3">
        <v>29900000</v>
      </c>
      <c r="D18" s="3" t="s">
        <v>56</v>
      </c>
      <c r="E18" s="3">
        <f t="shared" si="2"/>
        <v>32890000</v>
      </c>
      <c r="F18" s="3">
        <f>14000000+800000</f>
        <v>14800000</v>
      </c>
      <c r="G18" s="3">
        <v>4604900</v>
      </c>
      <c r="H18" s="3">
        <f t="shared" si="3"/>
        <v>19404900</v>
      </c>
      <c r="I18" s="3">
        <f t="shared" si="5"/>
        <v>32900000</v>
      </c>
      <c r="J18" s="3">
        <f>I18+I22</f>
        <v>39500000</v>
      </c>
      <c r="K18" s="18">
        <f t="shared" si="0"/>
        <v>0.5087367088607595</v>
      </c>
      <c r="L18" s="17">
        <v>0.1</v>
      </c>
      <c r="M18" s="17">
        <v>0.1</v>
      </c>
      <c r="N18" s="21">
        <f t="shared" si="4"/>
        <v>0.30873670886075955</v>
      </c>
      <c r="O18" s="25">
        <f t="shared" si="1"/>
        <v>12195100.000000002</v>
      </c>
      <c r="P18" s="17"/>
      <c r="Q18" s="8" t="s">
        <v>50</v>
      </c>
      <c r="R18" s="8"/>
    </row>
    <row r="19" spans="1:18" ht="27" customHeight="1" x14ac:dyDescent="0.2">
      <c r="A19" s="1">
        <v>18</v>
      </c>
      <c r="B19" s="2" t="s">
        <v>94</v>
      </c>
      <c r="C19" s="3">
        <v>20000000</v>
      </c>
      <c r="D19" s="3" t="s">
        <v>57</v>
      </c>
      <c r="E19" s="3">
        <f t="shared" si="2"/>
        <v>22000000</v>
      </c>
      <c r="F19" s="3">
        <f>6760000+800000</f>
        <v>7560000</v>
      </c>
      <c r="G19" s="3">
        <v>4940900</v>
      </c>
      <c r="H19" s="3">
        <f t="shared" si="3"/>
        <v>12500900</v>
      </c>
      <c r="I19" s="3">
        <f t="shared" si="5"/>
        <v>22000000</v>
      </c>
      <c r="J19" s="3">
        <f>I19+I22</f>
        <v>28600000</v>
      </c>
      <c r="K19" s="18">
        <f t="shared" si="0"/>
        <v>0.5629055944055944</v>
      </c>
      <c r="L19" s="17">
        <v>0.1</v>
      </c>
      <c r="M19" s="17">
        <v>0.1</v>
      </c>
      <c r="N19" s="21">
        <f t="shared" si="4"/>
        <v>0.36290559440559444</v>
      </c>
      <c r="O19" s="25">
        <f t="shared" si="1"/>
        <v>10379100.000000002</v>
      </c>
      <c r="P19" s="17"/>
      <c r="Q19" s="8" t="s">
        <v>70</v>
      </c>
      <c r="R19" s="8"/>
    </row>
    <row r="20" spans="1:18" ht="27" customHeight="1" x14ac:dyDescent="0.2">
      <c r="A20" s="1">
        <v>19</v>
      </c>
      <c r="B20" s="2" t="s">
        <v>95</v>
      </c>
      <c r="C20" s="3">
        <v>30000000</v>
      </c>
      <c r="D20" s="3" t="s">
        <v>57</v>
      </c>
      <c r="E20" s="3">
        <f t="shared" si="2"/>
        <v>33000000</v>
      </c>
      <c r="F20" s="3">
        <f>14000000+800000</f>
        <v>14800000</v>
      </c>
      <c r="G20" s="3">
        <v>4940900</v>
      </c>
      <c r="H20" s="3">
        <f t="shared" si="3"/>
        <v>19740900</v>
      </c>
      <c r="I20" s="3">
        <f t="shared" si="5"/>
        <v>33000000</v>
      </c>
      <c r="J20" s="3">
        <f>I20+I22</f>
        <v>39600000</v>
      </c>
      <c r="K20" s="18">
        <f t="shared" si="0"/>
        <v>0.50149242424242424</v>
      </c>
      <c r="L20" s="17">
        <v>0.1</v>
      </c>
      <c r="M20" s="17">
        <v>0.1</v>
      </c>
      <c r="N20" s="21">
        <f t="shared" si="4"/>
        <v>0.30149242424242428</v>
      </c>
      <c r="O20" s="25">
        <f t="shared" si="1"/>
        <v>11939100.000000002</v>
      </c>
      <c r="P20" s="17"/>
      <c r="Q20" s="8" t="s">
        <v>70</v>
      </c>
      <c r="R20" s="8"/>
    </row>
    <row r="21" spans="1:18" ht="27" customHeight="1" x14ac:dyDescent="0.2">
      <c r="A21" s="1">
        <v>20</v>
      </c>
      <c r="B21" s="4" t="s">
        <v>3</v>
      </c>
      <c r="C21" s="5">
        <v>4000000</v>
      </c>
      <c r="D21" s="3" t="s">
        <v>59</v>
      </c>
      <c r="E21" s="3">
        <f t="shared" si="2"/>
        <v>4400000</v>
      </c>
      <c r="F21" s="3"/>
      <c r="G21" s="3"/>
      <c r="H21" s="3"/>
      <c r="I21" s="3">
        <f t="shared" si="5"/>
        <v>4400000</v>
      </c>
      <c r="J21" s="3"/>
      <c r="K21" s="3"/>
      <c r="L21" s="3"/>
      <c r="M21" s="3"/>
      <c r="N21" s="23"/>
      <c r="O21" s="23"/>
      <c r="P21" s="3"/>
      <c r="Q21" s="8"/>
      <c r="R21" s="8"/>
    </row>
    <row r="22" spans="1:18" ht="27" customHeight="1" x14ac:dyDescent="0.2">
      <c r="A22" s="1">
        <v>21</v>
      </c>
      <c r="B22" s="4" t="s">
        <v>4</v>
      </c>
      <c r="C22" s="5">
        <v>6000000</v>
      </c>
      <c r="D22" s="3" t="s">
        <v>59</v>
      </c>
      <c r="E22" s="3">
        <f t="shared" si="2"/>
        <v>6600000</v>
      </c>
      <c r="F22" s="3"/>
      <c r="G22" s="3"/>
      <c r="H22" s="3"/>
      <c r="I22" s="3">
        <f t="shared" si="5"/>
        <v>6600000</v>
      </c>
      <c r="J22" s="3"/>
      <c r="K22" s="3"/>
      <c r="L22" s="3"/>
      <c r="M22" s="3"/>
      <c r="N22" s="23"/>
      <c r="O22" s="23"/>
      <c r="P22" s="3"/>
      <c r="Q22" s="8"/>
      <c r="R22" s="8"/>
    </row>
    <row r="23" spans="1:18" ht="27" customHeight="1" x14ac:dyDescent="0.2">
      <c r="A23" s="1">
        <v>22</v>
      </c>
      <c r="B23" s="4" t="s">
        <v>5</v>
      </c>
      <c r="C23" s="5">
        <v>5000000</v>
      </c>
      <c r="D23" s="3" t="s">
        <v>59</v>
      </c>
      <c r="E23" s="3">
        <f t="shared" si="2"/>
        <v>5500000</v>
      </c>
      <c r="F23" s="3"/>
      <c r="G23" s="3"/>
      <c r="H23" s="3"/>
      <c r="I23" s="3">
        <f t="shared" si="5"/>
        <v>5500000</v>
      </c>
      <c r="J23" s="3"/>
      <c r="K23" s="3"/>
      <c r="L23" s="3"/>
      <c r="M23" s="3"/>
      <c r="N23" s="23"/>
      <c r="O23" s="23"/>
      <c r="P23" s="3"/>
      <c r="Q23" s="8"/>
      <c r="R23" s="8"/>
    </row>
    <row r="24" spans="1:18" ht="27" customHeight="1" x14ac:dyDescent="0.2">
      <c r="A24" s="1">
        <v>23</v>
      </c>
      <c r="B24" s="4" t="s">
        <v>6</v>
      </c>
      <c r="C24" s="5">
        <v>7000000</v>
      </c>
      <c r="D24" s="3" t="s">
        <v>59</v>
      </c>
      <c r="E24" s="3">
        <f t="shared" si="2"/>
        <v>7700000</v>
      </c>
      <c r="F24" s="3"/>
      <c r="G24" s="3"/>
      <c r="H24" s="3"/>
      <c r="I24" s="3">
        <f t="shared" si="5"/>
        <v>7700000</v>
      </c>
      <c r="J24" s="3"/>
      <c r="K24" s="3"/>
      <c r="L24" s="3"/>
      <c r="M24" s="3"/>
      <c r="N24" s="23"/>
      <c r="O24" s="23"/>
      <c r="P24" s="3"/>
      <c r="Q24" s="8"/>
      <c r="R24" s="8"/>
    </row>
    <row r="25" spans="1:18" ht="27" customHeight="1" x14ac:dyDescent="0.2">
      <c r="A25" s="1">
        <v>24</v>
      </c>
      <c r="B25" s="1" t="s">
        <v>7</v>
      </c>
      <c r="C25" s="5">
        <v>5000000</v>
      </c>
      <c r="D25" s="3" t="s">
        <v>59</v>
      </c>
      <c r="E25" s="3">
        <f t="shared" si="2"/>
        <v>5500000</v>
      </c>
      <c r="F25" s="3"/>
      <c r="G25" s="3"/>
      <c r="H25" s="3"/>
      <c r="I25" s="3">
        <f t="shared" si="5"/>
        <v>5500000</v>
      </c>
      <c r="J25" s="3"/>
      <c r="K25" s="3"/>
      <c r="L25" s="3"/>
      <c r="M25" s="3"/>
      <c r="N25" s="23"/>
      <c r="O25" s="23"/>
      <c r="P25" s="3"/>
      <c r="Q25" s="8"/>
      <c r="R25" s="8"/>
    </row>
    <row r="26" spans="1:18" ht="27" customHeight="1" x14ac:dyDescent="0.2">
      <c r="A26" s="1">
        <v>25</v>
      </c>
      <c r="B26" s="1" t="s">
        <v>8</v>
      </c>
      <c r="C26" s="5">
        <v>4500000</v>
      </c>
      <c r="D26" s="3" t="s">
        <v>60</v>
      </c>
      <c r="E26" s="3">
        <f t="shared" si="2"/>
        <v>4950000</v>
      </c>
      <c r="F26" s="3"/>
      <c r="G26" s="3"/>
      <c r="H26" s="3"/>
      <c r="I26" s="3">
        <f t="shared" si="5"/>
        <v>5000000</v>
      </c>
      <c r="J26" s="3"/>
      <c r="K26" s="3"/>
      <c r="L26" s="3"/>
      <c r="M26" s="3"/>
      <c r="N26" s="23"/>
      <c r="O26" s="23"/>
      <c r="P26" s="3"/>
      <c r="Q26" s="8"/>
      <c r="R26" s="8"/>
    </row>
    <row r="27" spans="1:18" ht="27" customHeight="1" x14ac:dyDescent="0.2">
      <c r="A27" s="1">
        <v>26</v>
      </c>
      <c r="B27" s="1" t="s">
        <v>9</v>
      </c>
      <c r="C27" s="5">
        <v>22000000</v>
      </c>
      <c r="D27" s="3" t="s">
        <v>61</v>
      </c>
      <c r="E27" s="3">
        <f t="shared" si="2"/>
        <v>24200000</v>
      </c>
      <c r="F27" s="3"/>
      <c r="G27" s="3"/>
      <c r="H27" s="3"/>
      <c r="I27" s="3">
        <f t="shared" si="5"/>
        <v>24200000</v>
      </c>
      <c r="J27" s="3"/>
      <c r="K27" s="3"/>
      <c r="L27" s="3"/>
      <c r="M27" s="3"/>
      <c r="N27" s="23"/>
      <c r="O27" s="23"/>
      <c r="P27" s="3"/>
      <c r="Q27" s="8"/>
      <c r="R27" s="8"/>
    </row>
    <row r="28" spans="1:18" ht="27" customHeight="1" x14ac:dyDescent="0.2">
      <c r="A28" s="1">
        <v>27</v>
      </c>
      <c r="B28" s="1" t="s">
        <v>10</v>
      </c>
      <c r="C28" s="5">
        <v>5500000</v>
      </c>
      <c r="D28" s="3" t="s">
        <v>60</v>
      </c>
      <c r="E28" s="3">
        <f t="shared" si="2"/>
        <v>6050000</v>
      </c>
      <c r="F28" s="3"/>
      <c r="G28" s="3"/>
      <c r="H28" s="3"/>
      <c r="I28" s="3">
        <f t="shared" si="5"/>
        <v>6100000</v>
      </c>
      <c r="J28" s="3"/>
      <c r="K28" s="3"/>
      <c r="L28" s="3"/>
      <c r="M28" s="3"/>
      <c r="N28" s="23"/>
      <c r="O28" s="23"/>
      <c r="P28" s="3"/>
      <c r="Q28" s="8"/>
      <c r="R28" s="8"/>
    </row>
    <row r="29" spans="1:18" ht="27" customHeight="1" x14ac:dyDescent="0.2">
      <c r="A29" s="1">
        <v>28</v>
      </c>
      <c r="B29" s="1" t="s">
        <v>11</v>
      </c>
      <c r="C29" s="5">
        <v>9500000</v>
      </c>
      <c r="D29" s="3" t="s">
        <v>60</v>
      </c>
      <c r="E29" s="3">
        <f t="shared" si="2"/>
        <v>10450000</v>
      </c>
      <c r="F29" s="3"/>
      <c r="G29" s="3"/>
      <c r="H29" s="3"/>
      <c r="I29" s="3">
        <f t="shared" si="5"/>
        <v>10500000</v>
      </c>
      <c r="J29" s="3"/>
      <c r="K29" s="3"/>
      <c r="L29" s="3"/>
      <c r="M29" s="3"/>
      <c r="N29" s="23"/>
      <c r="O29" s="23"/>
      <c r="P29" s="3"/>
      <c r="Q29" s="8"/>
      <c r="R29" s="8"/>
    </row>
    <row r="30" spans="1:18" ht="27" customHeight="1" x14ac:dyDescent="0.2">
      <c r="A30" s="1">
        <v>29</v>
      </c>
      <c r="B30" s="1" t="s">
        <v>12</v>
      </c>
      <c r="C30" s="5">
        <v>13500000</v>
      </c>
      <c r="D30" s="3" t="s">
        <v>60</v>
      </c>
      <c r="E30" s="3">
        <f t="shared" si="2"/>
        <v>14850000</v>
      </c>
      <c r="F30" s="3"/>
      <c r="G30" s="3"/>
      <c r="H30" s="3"/>
      <c r="I30" s="3">
        <f t="shared" si="5"/>
        <v>14900000</v>
      </c>
      <c r="J30" s="3"/>
      <c r="K30" s="3"/>
      <c r="L30" s="3"/>
      <c r="M30" s="3"/>
      <c r="N30" s="23"/>
      <c r="O30" s="23"/>
      <c r="P30" s="3"/>
      <c r="Q30" s="8"/>
      <c r="R30" s="8"/>
    </row>
    <row r="31" spans="1:18" ht="27" customHeight="1" x14ac:dyDescent="0.2">
      <c r="A31" s="1">
        <v>30</v>
      </c>
      <c r="B31" s="1" t="s">
        <v>13</v>
      </c>
      <c r="C31" s="5">
        <v>18000000</v>
      </c>
      <c r="D31" s="3" t="s">
        <v>60</v>
      </c>
      <c r="E31" s="3">
        <f t="shared" si="2"/>
        <v>19800000</v>
      </c>
      <c r="F31" s="3"/>
      <c r="G31" s="3"/>
      <c r="H31" s="3"/>
      <c r="I31" s="3">
        <f t="shared" si="5"/>
        <v>19800000</v>
      </c>
      <c r="J31" s="3"/>
      <c r="K31" s="3"/>
      <c r="L31" s="3"/>
      <c r="M31" s="3"/>
      <c r="N31" s="23"/>
      <c r="O31" s="23"/>
      <c r="P31" s="3"/>
      <c r="Q31" s="8"/>
      <c r="R31" s="8"/>
    </row>
    <row r="32" spans="1:18" ht="27" customHeight="1" x14ac:dyDescent="0.2">
      <c r="A32" s="1">
        <v>31</v>
      </c>
      <c r="B32" s="1" t="s">
        <v>14</v>
      </c>
      <c r="C32" s="5">
        <v>35000000</v>
      </c>
      <c r="D32" s="3" t="s">
        <v>60</v>
      </c>
      <c r="E32" s="3">
        <f t="shared" si="2"/>
        <v>38500000</v>
      </c>
      <c r="F32" s="3"/>
      <c r="G32" s="3"/>
      <c r="H32" s="3"/>
      <c r="I32" s="3">
        <f t="shared" si="5"/>
        <v>38500000</v>
      </c>
      <c r="J32" s="3"/>
      <c r="K32" s="3"/>
      <c r="L32" s="3"/>
      <c r="M32" s="3"/>
      <c r="N32" s="23"/>
      <c r="O32" s="23"/>
      <c r="P32" s="3"/>
      <c r="Q32" s="8"/>
      <c r="R32" s="8"/>
    </row>
    <row r="33" spans="1:18" ht="27" customHeight="1" x14ac:dyDescent="0.2">
      <c r="A33" s="1">
        <v>32</v>
      </c>
      <c r="B33" s="1" t="s">
        <v>15</v>
      </c>
      <c r="C33" s="5">
        <v>3000000</v>
      </c>
      <c r="D33" s="3" t="s">
        <v>60</v>
      </c>
      <c r="E33" s="3">
        <f t="shared" si="2"/>
        <v>3300000</v>
      </c>
      <c r="F33" s="3"/>
      <c r="G33" s="3"/>
      <c r="H33" s="3"/>
      <c r="I33" s="3">
        <f t="shared" si="5"/>
        <v>3300000</v>
      </c>
      <c r="J33" s="3"/>
      <c r="K33" s="3"/>
      <c r="L33" s="3"/>
      <c r="M33" s="3"/>
      <c r="N33" s="23"/>
      <c r="O33" s="23"/>
      <c r="P33" s="3"/>
      <c r="Q33" s="8"/>
      <c r="R33" s="8"/>
    </row>
    <row r="34" spans="1:18" ht="27" customHeight="1" x14ac:dyDescent="0.2">
      <c r="A34" s="1">
        <v>33</v>
      </c>
      <c r="B34" s="1" t="s">
        <v>16</v>
      </c>
      <c r="C34" s="5">
        <v>8000000</v>
      </c>
      <c r="D34" s="3" t="s">
        <v>59</v>
      </c>
      <c r="E34" s="3">
        <f t="shared" si="2"/>
        <v>8800000</v>
      </c>
      <c r="F34" s="3"/>
      <c r="G34" s="3"/>
      <c r="H34" s="3"/>
      <c r="I34" s="3">
        <f t="shared" si="5"/>
        <v>8800000</v>
      </c>
      <c r="J34" s="3"/>
      <c r="K34" s="3"/>
      <c r="L34" s="3"/>
      <c r="M34" s="3"/>
      <c r="N34" s="23"/>
      <c r="O34" s="23"/>
      <c r="P34" s="3"/>
      <c r="Q34" s="8"/>
      <c r="R34" s="8"/>
    </row>
    <row r="35" spans="1:18" ht="27" customHeight="1" x14ac:dyDescent="0.2">
      <c r="A35" s="1">
        <v>34</v>
      </c>
      <c r="B35" s="1" t="s">
        <v>17</v>
      </c>
      <c r="C35" s="5">
        <v>39000000</v>
      </c>
      <c r="D35" s="3" t="s">
        <v>59</v>
      </c>
      <c r="E35" s="3">
        <f t="shared" si="2"/>
        <v>42900000</v>
      </c>
      <c r="F35" s="3"/>
      <c r="G35" s="3"/>
      <c r="H35" s="3"/>
      <c r="I35" s="3">
        <f t="shared" si="5"/>
        <v>42900000</v>
      </c>
      <c r="J35" s="3"/>
      <c r="K35" s="3"/>
      <c r="L35" s="3"/>
      <c r="M35" s="3"/>
      <c r="N35" s="23"/>
      <c r="O35" s="23"/>
      <c r="P35" s="3"/>
      <c r="Q35" s="8"/>
      <c r="R35" s="8"/>
    </row>
    <row r="36" spans="1:18" ht="27" customHeight="1" x14ac:dyDescent="0.2">
      <c r="A36" s="1">
        <v>35</v>
      </c>
      <c r="B36" s="1" t="s">
        <v>18</v>
      </c>
      <c r="C36" s="5">
        <v>49000000</v>
      </c>
      <c r="D36" s="3" t="s">
        <v>59</v>
      </c>
      <c r="E36" s="3">
        <f t="shared" si="2"/>
        <v>53900000</v>
      </c>
      <c r="F36" s="3"/>
      <c r="G36" s="3"/>
      <c r="H36" s="3"/>
      <c r="I36" s="3">
        <f t="shared" si="5"/>
        <v>53900000</v>
      </c>
      <c r="J36" s="3"/>
      <c r="K36" s="3"/>
      <c r="L36" s="3"/>
      <c r="M36" s="3"/>
      <c r="N36" s="23"/>
      <c r="O36" s="23"/>
      <c r="P36" s="3"/>
      <c r="Q36" s="8"/>
      <c r="R36" s="8"/>
    </row>
    <row r="37" spans="1:18" ht="27" customHeight="1" x14ac:dyDescent="0.2">
      <c r="A37" s="1">
        <v>36</v>
      </c>
      <c r="B37" s="1" t="s">
        <v>19</v>
      </c>
      <c r="C37" s="5">
        <v>18000000</v>
      </c>
      <c r="D37" s="3" t="s">
        <v>59</v>
      </c>
      <c r="E37" s="3">
        <f t="shared" si="2"/>
        <v>19800000</v>
      </c>
      <c r="F37" s="3"/>
      <c r="G37" s="3"/>
      <c r="H37" s="3"/>
      <c r="I37" s="3">
        <f t="shared" si="5"/>
        <v>19800000</v>
      </c>
      <c r="J37" s="3"/>
      <c r="K37" s="3"/>
      <c r="L37" s="3"/>
      <c r="M37" s="3"/>
      <c r="N37" s="23"/>
      <c r="O37" s="23"/>
      <c r="P37" s="3"/>
      <c r="Q37" s="8"/>
      <c r="R37" s="8"/>
    </row>
    <row r="38" spans="1:18" ht="27" customHeight="1" x14ac:dyDescent="0.2">
      <c r="A38" s="1">
        <v>37</v>
      </c>
      <c r="B38" s="1" t="s">
        <v>20</v>
      </c>
      <c r="C38" s="5">
        <v>1000000</v>
      </c>
      <c r="D38" s="3" t="s">
        <v>59</v>
      </c>
      <c r="E38" s="3">
        <f t="shared" si="2"/>
        <v>1100000</v>
      </c>
      <c r="F38" s="3"/>
      <c r="G38" s="3"/>
      <c r="H38" s="3"/>
      <c r="I38" s="3">
        <f t="shared" si="5"/>
        <v>1100000</v>
      </c>
      <c r="J38" s="3"/>
      <c r="K38" s="3"/>
      <c r="L38" s="3"/>
      <c r="M38" s="3"/>
      <c r="N38" s="23"/>
      <c r="O38" s="23"/>
      <c r="P38" s="3"/>
      <c r="Q38" s="8"/>
      <c r="R38" s="8"/>
    </row>
    <row r="39" spans="1:18" ht="27" customHeight="1" x14ac:dyDescent="0.2">
      <c r="A39" s="1">
        <v>38</v>
      </c>
      <c r="B39" s="1" t="s">
        <v>21</v>
      </c>
      <c r="C39" s="5">
        <v>5000000</v>
      </c>
      <c r="D39" s="3" t="s">
        <v>59</v>
      </c>
      <c r="E39" s="3">
        <f t="shared" si="2"/>
        <v>5500000</v>
      </c>
      <c r="F39" s="3"/>
      <c r="G39" s="3"/>
      <c r="H39" s="3"/>
      <c r="I39" s="3">
        <f t="shared" si="5"/>
        <v>5500000</v>
      </c>
      <c r="J39" s="3"/>
      <c r="K39" s="3"/>
      <c r="L39" s="3"/>
      <c r="M39" s="3"/>
      <c r="N39" s="23"/>
      <c r="O39" s="23"/>
      <c r="P39" s="3"/>
      <c r="Q39" s="8"/>
      <c r="R39" s="8"/>
    </row>
    <row r="40" spans="1:18" ht="27" customHeight="1" x14ac:dyDescent="0.2">
      <c r="A40" s="1">
        <v>39</v>
      </c>
      <c r="B40" s="1" t="s">
        <v>22</v>
      </c>
      <c r="C40" s="5">
        <v>3000000</v>
      </c>
      <c r="D40" s="3" t="s">
        <v>59</v>
      </c>
      <c r="E40" s="3">
        <f t="shared" si="2"/>
        <v>3300000</v>
      </c>
      <c r="F40" s="3"/>
      <c r="G40" s="3"/>
      <c r="H40" s="3"/>
      <c r="I40" s="3">
        <f t="shared" si="5"/>
        <v>3300000</v>
      </c>
      <c r="J40" s="3"/>
      <c r="K40" s="3"/>
      <c r="L40" s="3"/>
      <c r="M40" s="3"/>
      <c r="N40" s="23"/>
      <c r="O40" s="23"/>
      <c r="P40" s="3"/>
      <c r="Q40" s="8"/>
      <c r="R40" s="8"/>
    </row>
    <row r="41" spans="1:18" ht="27" customHeight="1" x14ac:dyDescent="0.2">
      <c r="A41" s="1">
        <v>40</v>
      </c>
      <c r="B41" s="1" t="s">
        <v>23</v>
      </c>
      <c r="C41" s="5">
        <v>6000000</v>
      </c>
      <c r="D41" s="3" t="s">
        <v>59</v>
      </c>
      <c r="E41" s="3">
        <f t="shared" si="2"/>
        <v>6600000</v>
      </c>
      <c r="F41" s="3"/>
      <c r="G41" s="3"/>
      <c r="H41" s="3"/>
      <c r="I41" s="3">
        <f t="shared" si="5"/>
        <v>6600000</v>
      </c>
      <c r="J41" s="3"/>
      <c r="K41" s="3"/>
      <c r="L41" s="3"/>
      <c r="M41" s="3"/>
      <c r="N41" s="23"/>
      <c r="O41" s="23"/>
      <c r="P41" s="3"/>
      <c r="Q41" s="8"/>
      <c r="R41" s="8"/>
    </row>
    <row r="42" spans="1:18" ht="27" customHeight="1" x14ac:dyDescent="0.2">
      <c r="A42" s="1">
        <v>41</v>
      </c>
      <c r="B42" s="1" t="s">
        <v>24</v>
      </c>
      <c r="C42" s="5">
        <v>3000000</v>
      </c>
      <c r="D42" s="3" t="s">
        <v>59</v>
      </c>
      <c r="E42" s="3">
        <f t="shared" si="2"/>
        <v>3300000</v>
      </c>
      <c r="F42" s="3"/>
      <c r="G42" s="3"/>
      <c r="H42" s="3"/>
      <c r="I42" s="3">
        <f t="shared" si="5"/>
        <v>3300000</v>
      </c>
      <c r="J42" s="3"/>
      <c r="K42" s="3"/>
      <c r="L42" s="3"/>
      <c r="M42" s="3"/>
      <c r="N42" s="23"/>
      <c r="O42" s="23"/>
      <c r="P42" s="3"/>
      <c r="Q42" s="8"/>
      <c r="R42" s="8"/>
    </row>
    <row r="43" spans="1:18" ht="27" customHeight="1" x14ac:dyDescent="0.2">
      <c r="A43" s="1">
        <v>42</v>
      </c>
      <c r="B43" s="1" t="s">
        <v>25</v>
      </c>
      <c r="C43" s="5">
        <v>6000000</v>
      </c>
      <c r="D43" s="3" t="s">
        <v>59</v>
      </c>
      <c r="E43" s="3">
        <f t="shared" si="2"/>
        <v>6600000</v>
      </c>
      <c r="F43" s="3"/>
      <c r="G43" s="3"/>
      <c r="H43" s="3"/>
      <c r="I43" s="3">
        <f t="shared" si="5"/>
        <v>6600000</v>
      </c>
      <c r="J43" s="3"/>
      <c r="K43" s="3"/>
      <c r="L43" s="3"/>
      <c r="M43" s="3"/>
      <c r="N43" s="23"/>
      <c r="O43" s="23"/>
      <c r="P43" s="3"/>
      <c r="Q43" s="8"/>
      <c r="R43" s="8"/>
    </row>
    <row r="44" spans="1:18" ht="27" customHeight="1" x14ac:dyDescent="0.2">
      <c r="A44" s="1">
        <v>43</v>
      </c>
      <c r="B44" s="1" t="s">
        <v>73</v>
      </c>
      <c r="C44" s="5">
        <v>2500000</v>
      </c>
      <c r="D44" s="3" t="s">
        <v>74</v>
      </c>
      <c r="E44" s="3">
        <f t="shared" si="2"/>
        <v>2750000</v>
      </c>
      <c r="F44" s="3"/>
      <c r="G44" s="3"/>
      <c r="H44" s="3"/>
      <c r="I44" s="3">
        <f t="shared" si="5"/>
        <v>2800000</v>
      </c>
      <c r="J44" s="3"/>
      <c r="K44" s="3"/>
      <c r="L44" s="3"/>
      <c r="M44" s="3"/>
      <c r="N44" s="23"/>
      <c r="O44" s="23"/>
      <c r="P44" s="3"/>
      <c r="Q44" s="8" t="s">
        <v>63</v>
      </c>
      <c r="R44" s="8"/>
    </row>
    <row r="45" spans="1:18" ht="27" customHeight="1" x14ac:dyDescent="0.2">
      <c r="A45" s="1">
        <v>44</v>
      </c>
      <c r="B45" s="1" t="s">
        <v>101</v>
      </c>
      <c r="C45" s="5">
        <v>5000000</v>
      </c>
      <c r="D45" s="3" t="s">
        <v>49</v>
      </c>
      <c r="E45" s="3">
        <f t="shared" si="2"/>
        <v>5500000</v>
      </c>
      <c r="F45" s="3"/>
      <c r="G45" s="3"/>
      <c r="H45" s="3"/>
      <c r="I45" s="3">
        <f t="shared" si="5"/>
        <v>5500000</v>
      </c>
      <c r="J45" s="3"/>
      <c r="K45" s="3"/>
      <c r="L45" s="3"/>
      <c r="M45" s="3"/>
      <c r="N45" s="23"/>
      <c r="O45" s="23"/>
      <c r="P45" s="3"/>
      <c r="Q45" s="8" t="s">
        <v>71</v>
      </c>
      <c r="R45" s="8"/>
    </row>
    <row r="46" spans="1:18" ht="27" customHeight="1" x14ac:dyDescent="0.2">
      <c r="A46" s="1">
        <v>45</v>
      </c>
      <c r="B46" s="1" t="s">
        <v>96</v>
      </c>
      <c r="C46" s="5">
        <v>6000000</v>
      </c>
      <c r="D46" s="3" t="s">
        <v>75</v>
      </c>
      <c r="E46" s="3">
        <f t="shared" si="2"/>
        <v>6600000</v>
      </c>
      <c r="F46" s="3"/>
      <c r="G46" s="3"/>
      <c r="H46" s="3"/>
      <c r="I46" s="3">
        <f t="shared" si="5"/>
        <v>6600000</v>
      </c>
      <c r="J46" s="3"/>
      <c r="K46" s="3"/>
      <c r="L46" s="3"/>
      <c r="M46" s="3"/>
      <c r="N46" s="23"/>
      <c r="O46" s="23"/>
      <c r="P46" s="3"/>
      <c r="Q46" s="8" t="s">
        <v>64</v>
      </c>
      <c r="R46" s="8" t="s">
        <v>71</v>
      </c>
    </row>
    <row r="47" spans="1:18" ht="27" customHeight="1" x14ac:dyDescent="0.2">
      <c r="A47" s="1">
        <v>46</v>
      </c>
      <c r="B47" s="1" t="s">
        <v>97</v>
      </c>
      <c r="C47" s="5">
        <v>8500000</v>
      </c>
      <c r="D47" s="3" t="s">
        <v>75</v>
      </c>
      <c r="E47" s="3">
        <f t="shared" si="2"/>
        <v>9350000</v>
      </c>
      <c r="F47" s="3"/>
      <c r="G47" s="3"/>
      <c r="H47" s="3"/>
      <c r="I47" s="3">
        <f t="shared" si="5"/>
        <v>9400000</v>
      </c>
      <c r="J47" s="3"/>
      <c r="K47" s="3"/>
      <c r="L47" s="3"/>
      <c r="M47" s="3"/>
      <c r="N47" s="23"/>
      <c r="O47" s="23"/>
      <c r="P47" s="3"/>
      <c r="Q47" s="8" t="s">
        <v>72</v>
      </c>
      <c r="R47" s="8" t="s">
        <v>64</v>
      </c>
    </row>
    <row r="48" spans="1:18" ht="27" customHeight="1" x14ac:dyDescent="0.2">
      <c r="A48" s="1">
        <v>47</v>
      </c>
      <c r="B48" s="1" t="s">
        <v>98</v>
      </c>
      <c r="C48" s="5">
        <v>9500000</v>
      </c>
      <c r="D48" s="3" t="s">
        <v>75</v>
      </c>
      <c r="E48" s="3">
        <f t="shared" si="2"/>
        <v>10450000</v>
      </c>
      <c r="F48" s="3"/>
      <c r="G48" s="3"/>
      <c r="H48" s="3"/>
      <c r="I48" s="3">
        <f t="shared" si="5"/>
        <v>10500000</v>
      </c>
      <c r="J48" s="3"/>
      <c r="K48" s="3"/>
      <c r="L48" s="3"/>
      <c r="M48" s="3"/>
      <c r="N48" s="23"/>
      <c r="O48" s="23"/>
      <c r="P48" s="3"/>
      <c r="Q48" s="8" t="s">
        <v>72</v>
      </c>
      <c r="R48" s="8" t="s">
        <v>72</v>
      </c>
    </row>
    <row r="49" spans="1:18" ht="27" customHeight="1" x14ac:dyDescent="0.2">
      <c r="A49" s="1">
        <v>48</v>
      </c>
      <c r="B49" s="1" t="s">
        <v>99</v>
      </c>
      <c r="C49" s="5">
        <v>11500000</v>
      </c>
      <c r="D49" s="3" t="s">
        <v>50</v>
      </c>
      <c r="E49" s="3">
        <f t="shared" si="2"/>
        <v>12650000</v>
      </c>
      <c r="F49" s="3"/>
      <c r="G49" s="3"/>
      <c r="H49" s="3"/>
      <c r="I49" s="3">
        <f t="shared" si="5"/>
        <v>12700000</v>
      </c>
      <c r="J49" s="3"/>
      <c r="K49" s="3"/>
      <c r="L49" s="3"/>
      <c r="M49" s="3"/>
      <c r="N49" s="23"/>
      <c r="O49" s="23"/>
      <c r="P49" s="3"/>
      <c r="Q49" s="8" t="s">
        <v>76</v>
      </c>
      <c r="R49" s="8" t="s">
        <v>77</v>
      </c>
    </row>
    <row r="50" spans="1:18" ht="27" hidden="1" customHeight="1" x14ac:dyDescent="0.2">
      <c r="A50" s="1">
        <v>49</v>
      </c>
      <c r="B50" s="1" t="s">
        <v>26</v>
      </c>
      <c r="C50" s="5">
        <v>8000000</v>
      </c>
      <c r="D50" s="3" t="s">
        <v>58</v>
      </c>
      <c r="E50" s="3">
        <f t="shared" si="2"/>
        <v>8800000</v>
      </c>
      <c r="F50" s="3"/>
      <c r="G50" s="3"/>
      <c r="H50" s="3"/>
      <c r="I50" s="3"/>
      <c r="J50" s="3"/>
      <c r="K50" s="3"/>
      <c r="L50" s="3"/>
      <c r="M50" s="3"/>
      <c r="N50" s="23"/>
      <c r="O50" s="23"/>
      <c r="P50" s="3"/>
      <c r="Q50" s="8"/>
    </row>
    <row r="51" spans="1:18" ht="27" customHeight="1" x14ac:dyDescent="0.2">
      <c r="Q51" s="6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1038-B394-495B-9210-0152D35010BA}">
  <dimension ref="A1:U51"/>
  <sheetViews>
    <sheetView tabSelected="1" topLeftCell="G1" workbookViewId="0">
      <selection activeCell="U5" sqref="U5"/>
    </sheetView>
  </sheetViews>
  <sheetFormatPr baseColWidth="10" defaultColWidth="10.6640625" defaultRowHeight="27" customHeight="1" x14ac:dyDescent="0.2"/>
  <cols>
    <col min="1" max="1" width="6.33203125" customWidth="1"/>
    <col min="2" max="2" width="24" customWidth="1"/>
    <col min="3" max="11" width="17.1640625" customWidth="1"/>
    <col min="12" max="12" width="8.1640625" customWidth="1"/>
    <col min="13" max="13" width="8.6640625" customWidth="1"/>
    <col min="14" max="14" width="8.6640625" style="24" customWidth="1"/>
    <col min="15" max="15" width="17.1640625" style="24" customWidth="1"/>
    <col min="16" max="16" width="20.6640625" customWidth="1"/>
    <col min="17" max="17" width="15.1640625" customWidth="1"/>
    <col min="18" max="18" width="12.83203125" customWidth="1"/>
  </cols>
  <sheetData>
    <row r="1" spans="1:21" ht="59.75" customHeight="1" x14ac:dyDescent="0.2">
      <c r="A1" s="12" t="s">
        <v>0</v>
      </c>
      <c r="B1" s="12" t="s">
        <v>1</v>
      </c>
      <c r="C1" s="13" t="s">
        <v>2</v>
      </c>
      <c r="D1" s="13" t="s">
        <v>48</v>
      </c>
      <c r="E1" s="14" t="s">
        <v>47</v>
      </c>
      <c r="F1" s="14" t="s">
        <v>103</v>
      </c>
      <c r="G1" s="14" t="s">
        <v>105</v>
      </c>
      <c r="H1" s="14" t="s">
        <v>107</v>
      </c>
      <c r="I1" s="14" t="s">
        <v>47</v>
      </c>
      <c r="J1" s="14" t="s">
        <v>104</v>
      </c>
      <c r="K1" s="14" t="s">
        <v>108</v>
      </c>
      <c r="L1" s="14" t="s">
        <v>110</v>
      </c>
      <c r="M1" s="14" t="s">
        <v>111</v>
      </c>
      <c r="N1" s="27" t="s">
        <v>112</v>
      </c>
      <c r="O1" s="20" t="s">
        <v>109</v>
      </c>
      <c r="P1" s="14" t="s">
        <v>106</v>
      </c>
      <c r="Q1" s="15" t="s">
        <v>62</v>
      </c>
      <c r="R1" s="16" t="s">
        <v>100</v>
      </c>
    </row>
    <row r="2" spans="1:21" ht="27" customHeight="1" x14ac:dyDescent="0.2">
      <c r="A2" s="1">
        <v>1</v>
      </c>
      <c r="B2" s="2" t="s">
        <v>78</v>
      </c>
      <c r="C2" s="3">
        <v>3900000</v>
      </c>
      <c r="D2" s="3" t="s">
        <v>49</v>
      </c>
      <c r="E2" s="3">
        <f>C2+(C2*10%)</f>
        <v>4290000</v>
      </c>
      <c r="F2" s="3">
        <f>1040000+800000</f>
        <v>1840000</v>
      </c>
      <c r="G2" s="3">
        <v>4604900</v>
      </c>
      <c r="H2" s="3">
        <f>F2+G2</f>
        <v>6444900</v>
      </c>
      <c r="I2" s="3">
        <f>ROUND(VALUE(E2),-5)</f>
        <v>4300000</v>
      </c>
      <c r="J2" s="3">
        <f>I2+I21</f>
        <v>8700000</v>
      </c>
      <c r="K2" s="17">
        <f t="shared" ref="K2:K20" si="0">((J2-H2)/J2)*100%</f>
        <v>0.25920689655172413</v>
      </c>
      <c r="L2" s="17">
        <v>0.1</v>
      </c>
      <c r="M2" s="17">
        <v>0.1</v>
      </c>
      <c r="N2" s="21">
        <f>K2-L2-M2</f>
        <v>5.920689655172412E-2</v>
      </c>
      <c r="O2" s="22">
        <f t="shared" ref="O2:O20" si="1">N2*J2</f>
        <v>515099.99999999983</v>
      </c>
      <c r="P2" s="17"/>
      <c r="Q2" s="8" t="s">
        <v>63</v>
      </c>
      <c r="R2" s="8"/>
    </row>
    <row r="3" spans="1:21" ht="27" customHeight="1" x14ac:dyDescent="0.2">
      <c r="A3" s="1">
        <v>2</v>
      </c>
      <c r="B3" s="2" t="s">
        <v>79</v>
      </c>
      <c r="C3" s="3">
        <v>6900000</v>
      </c>
      <c r="D3" s="3" t="s">
        <v>49</v>
      </c>
      <c r="E3" s="3">
        <f t="shared" ref="E3:E50" si="2">C3+(C3*10%)</f>
        <v>7590000</v>
      </c>
      <c r="F3" s="3">
        <f>2500000+800000</f>
        <v>3300000</v>
      </c>
      <c r="G3" s="3">
        <v>4604900</v>
      </c>
      <c r="H3" s="3">
        <f t="shared" ref="H3:H20" si="3">F3+G3</f>
        <v>7904900</v>
      </c>
      <c r="I3" s="3">
        <f>ROUND(VALUE(E3),-5)</f>
        <v>7600000</v>
      </c>
      <c r="J3" s="3">
        <f>I3+I21</f>
        <v>12000000</v>
      </c>
      <c r="K3" s="18">
        <f t="shared" si="0"/>
        <v>0.34125833333333333</v>
      </c>
      <c r="L3" s="17">
        <v>0.1</v>
      </c>
      <c r="M3" s="17">
        <v>0.1</v>
      </c>
      <c r="N3" s="26">
        <f t="shared" ref="N3:N20" si="4">K3-L3-M3</f>
        <v>0.14125833333333332</v>
      </c>
      <c r="O3" s="25">
        <f t="shared" si="1"/>
        <v>1695099.9999999998</v>
      </c>
      <c r="P3" s="17"/>
      <c r="Q3" s="8" t="s">
        <v>64</v>
      </c>
      <c r="R3" s="8"/>
    </row>
    <row r="4" spans="1:21" ht="27" customHeight="1" x14ac:dyDescent="0.2">
      <c r="A4" s="1">
        <v>3</v>
      </c>
      <c r="B4" s="2" t="s">
        <v>80</v>
      </c>
      <c r="C4" s="3">
        <v>7800000</v>
      </c>
      <c r="D4" s="3" t="s">
        <v>49</v>
      </c>
      <c r="E4" s="3">
        <f t="shared" si="2"/>
        <v>8580000</v>
      </c>
      <c r="F4" s="3">
        <f>4208000+800000</f>
        <v>5008000</v>
      </c>
      <c r="G4" s="3">
        <v>4604900</v>
      </c>
      <c r="H4" s="3">
        <f t="shared" si="3"/>
        <v>9612900</v>
      </c>
      <c r="I4" s="3">
        <f>ROUND(VALUE(E4),-5)</f>
        <v>8600000</v>
      </c>
      <c r="J4" s="3">
        <f>I4+I21</f>
        <v>13000000</v>
      </c>
      <c r="K4" s="17">
        <f t="shared" si="0"/>
        <v>0.26054615384615387</v>
      </c>
      <c r="L4" s="17">
        <v>0.1</v>
      </c>
      <c r="M4" s="17">
        <v>0.1</v>
      </c>
      <c r="N4" s="21">
        <f t="shared" si="4"/>
        <v>6.0546153846153861E-2</v>
      </c>
      <c r="O4" s="22">
        <f t="shared" si="1"/>
        <v>787100.00000000023</v>
      </c>
      <c r="P4" s="17"/>
      <c r="Q4" s="8" t="s">
        <v>65</v>
      </c>
      <c r="R4" s="8"/>
      <c r="U4" t="s">
        <v>113</v>
      </c>
    </row>
    <row r="5" spans="1:21" ht="27" customHeight="1" x14ac:dyDescent="0.2">
      <c r="A5" s="1">
        <v>4</v>
      </c>
      <c r="B5" s="2" t="s">
        <v>81</v>
      </c>
      <c r="C5" s="3">
        <v>9900000</v>
      </c>
      <c r="D5" s="3" t="s">
        <v>49</v>
      </c>
      <c r="E5" s="3">
        <f t="shared" si="2"/>
        <v>10890000</v>
      </c>
      <c r="F5" s="3">
        <f>3200000+800000</f>
        <v>4000000</v>
      </c>
      <c r="G5" s="3">
        <v>4604900</v>
      </c>
      <c r="H5" s="3">
        <f t="shared" si="3"/>
        <v>8604900</v>
      </c>
      <c r="I5" s="3">
        <f>ROUND(VALUE(E5),-5)</f>
        <v>10900000</v>
      </c>
      <c r="J5" s="3">
        <f>I5+I21</f>
        <v>15300000</v>
      </c>
      <c r="K5" s="18">
        <f t="shared" si="0"/>
        <v>0.43758823529411767</v>
      </c>
      <c r="L5" s="17">
        <v>0.1</v>
      </c>
      <c r="M5" s="17">
        <v>0.1</v>
      </c>
      <c r="N5" s="21">
        <f t="shared" si="4"/>
        <v>0.23758823529411763</v>
      </c>
      <c r="O5" s="25">
        <f t="shared" si="1"/>
        <v>3635099.9999999995</v>
      </c>
      <c r="P5" s="17"/>
      <c r="Q5" s="8" t="s">
        <v>66</v>
      </c>
      <c r="R5" s="8"/>
    </row>
    <row r="6" spans="1:21" ht="27" customHeight="1" x14ac:dyDescent="0.2">
      <c r="A6" s="1">
        <v>5</v>
      </c>
      <c r="B6" s="2" t="s">
        <v>82</v>
      </c>
      <c r="C6" s="3">
        <v>11900000</v>
      </c>
      <c r="D6" s="3" t="s">
        <v>50</v>
      </c>
      <c r="E6" s="3">
        <f t="shared" si="2"/>
        <v>13090000</v>
      </c>
      <c r="F6" s="3">
        <f>3800000+800000</f>
        <v>4600000</v>
      </c>
      <c r="G6" s="3">
        <v>4604900</v>
      </c>
      <c r="H6" s="3">
        <f t="shared" si="3"/>
        <v>9204900</v>
      </c>
      <c r="I6" s="3">
        <f t="shared" ref="I6:I49" si="5">ROUND(VALUE(E6),-5)</f>
        <v>13100000</v>
      </c>
      <c r="J6" s="3">
        <f>I6+I21</f>
        <v>17500000</v>
      </c>
      <c r="K6" s="18">
        <f t="shared" si="0"/>
        <v>0.47400571428571431</v>
      </c>
      <c r="L6" s="17">
        <v>0.1</v>
      </c>
      <c r="M6" s="17">
        <v>0.1</v>
      </c>
      <c r="N6" s="21">
        <f t="shared" si="4"/>
        <v>0.2740057142857143</v>
      </c>
      <c r="O6" s="25">
        <f t="shared" si="1"/>
        <v>4795100</v>
      </c>
      <c r="P6" s="17"/>
      <c r="Q6" s="8" t="s">
        <v>66</v>
      </c>
      <c r="R6" s="8"/>
    </row>
    <row r="7" spans="1:21" ht="27" customHeight="1" x14ac:dyDescent="0.2">
      <c r="A7" s="1">
        <v>6</v>
      </c>
      <c r="B7" s="2" t="s">
        <v>83</v>
      </c>
      <c r="C7" s="3">
        <v>12000000</v>
      </c>
      <c r="D7" s="3" t="s">
        <v>51</v>
      </c>
      <c r="E7" s="3">
        <f t="shared" si="2"/>
        <v>13200000</v>
      </c>
      <c r="F7" s="3">
        <f>6170000+800000</f>
        <v>6970000</v>
      </c>
      <c r="G7" s="3">
        <v>4604900</v>
      </c>
      <c r="H7" s="3">
        <f t="shared" si="3"/>
        <v>11574900</v>
      </c>
      <c r="I7" s="3">
        <f t="shared" si="5"/>
        <v>13200000</v>
      </c>
      <c r="J7" s="3">
        <f>I7+I21</f>
        <v>17600000</v>
      </c>
      <c r="K7" s="17">
        <f t="shared" si="0"/>
        <v>0.34233522727272725</v>
      </c>
      <c r="L7" s="17">
        <v>0.1</v>
      </c>
      <c r="M7" s="17">
        <v>0.1</v>
      </c>
      <c r="N7" s="21">
        <f t="shared" si="4"/>
        <v>0.14233522727272724</v>
      </c>
      <c r="O7" s="22">
        <f t="shared" si="1"/>
        <v>2505099.9999999995</v>
      </c>
      <c r="P7" s="17"/>
      <c r="Q7" s="8" t="s">
        <v>66</v>
      </c>
      <c r="R7" s="8"/>
    </row>
    <row r="8" spans="1:21" ht="27" customHeight="1" x14ac:dyDescent="0.2">
      <c r="A8" s="1">
        <v>7</v>
      </c>
      <c r="B8" s="2" t="s">
        <v>79</v>
      </c>
      <c r="C8" s="3">
        <v>12900000</v>
      </c>
      <c r="D8" s="3" t="s">
        <v>50</v>
      </c>
      <c r="E8" s="3">
        <f t="shared" si="2"/>
        <v>14190000</v>
      </c>
      <c r="F8" s="3">
        <f>3500000+800000</f>
        <v>4300000</v>
      </c>
      <c r="G8" s="3">
        <v>4604900</v>
      </c>
      <c r="H8" s="3">
        <f t="shared" si="3"/>
        <v>8904900</v>
      </c>
      <c r="I8" s="3">
        <f t="shared" si="5"/>
        <v>14200000</v>
      </c>
      <c r="J8" s="3">
        <f>I8+I22</f>
        <v>20800000</v>
      </c>
      <c r="K8" s="18">
        <f t="shared" si="0"/>
        <v>0.57187980769230773</v>
      </c>
      <c r="L8" s="17">
        <v>0.1</v>
      </c>
      <c r="M8" s="17">
        <v>0.1</v>
      </c>
      <c r="N8" s="28">
        <f t="shared" si="4"/>
        <v>0.37187980769230777</v>
      </c>
      <c r="O8" s="25">
        <f t="shared" si="1"/>
        <v>7735100.0000000019</v>
      </c>
      <c r="P8" s="17"/>
      <c r="Q8" s="8" t="s">
        <v>67</v>
      </c>
      <c r="R8" s="8"/>
    </row>
    <row r="9" spans="1:21" ht="27" customHeight="1" x14ac:dyDescent="0.2">
      <c r="A9" s="1">
        <v>8</v>
      </c>
      <c r="B9" s="2" t="s">
        <v>84</v>
      </c>
      <c r="C9" s="3">
        <v>14900000</v>
      </c>
      <c r="D9" s="3" t="s">
        <v>49</v>
      </c>
      <c r="E9" s="3">
        <f t="shared" si="2"/>
        <v>16390000</v>
      </c>
      <c r="F9" s="3">
        <f>4500000+800000</f>
        <v>5300000</v>
      </c>
      <c r="G9" s="3">
        <v>4604900</v>
      </c>
      <c r="H9" s="3">
        <f t="shared" si="3"/>
        <v>9904900</v>
      </c>
      <c r="I9" s="3">
        <f t="shared" si="5"/>
        <v>16400000</v>
      </c>
      <c r="J9" s="3">
        <f>I9+I22</f>
        <v>23000000</v>
      </c>
      <c r="K9" s="18">
        <f t="shared" si="0"/>
        <v>0.56935217391304349</v>
      </c>
      <c r="L9" s="17">
        <v>0.1</v>
      </c>
      <c r="M9" s="17">
        <v>0.1</v>
      </c>
      <c r="N9" s="21">
        <f t="shared" si="4"/>
        <v>0.36935217391304354</v>
      </c>
      <c r="O9" s="25">
        <f t="shared" si="1"/>
        <v>8495100.0000000019</v>
      </c>
      <c r="P9" s="17"/>
      <c r="Q9" s="8" t="s">
        <v>67</v>
      </c>
      <c r="R9" s="8"/>
    </row>
    <row r="10" spans="1:21" ht="27" customHeight="1" x14ac:dyDescent="0.2">
      <c r="A10" s="1">
        <v>9</v>
      </c>
      <c r="B10" s="2" t="s">
        <v>85</v>
      </c>
      <c r="C10" s="3">
        <v>12000000</v>
      </c>
      <c r="D10" s="3" t="s">
        <v>51</v>
      </c>
      <c r="E10" s="3">
        <f t="shared" si="2"/>
        <v>13200000</v>
      </c>
      <c r="F10" s="3">
        <f>7990000+800000</f>
        <v>8790000</v>
      </c>
      <c r="G10" s="3">
        <v>4604900</v>
      </c>
      <c r="H10" s="3">
        <f t="shared" si="3"/>
        <v>13394900</v>
      </c>
      <c r="I10" s="3">
        <f t="shared" si="5"/>
        <v>13200000</v>
      </c>
      <c r="J10" s="3">
        <f>I10+I22</f>
        <v>19800000</v>
      </c>
      <c r="K10" s="17">
        <f t="shared" si="0"/>
        <v>0.32348989898989899</v>
      </c>
      <c r="L10" s="17">
        <v>0.1</v>
      </c>
      <c r="M10" s="17">
        <v>0.1</v>
      </c>
      <c r="N10" s="21">
        <f t="shared" si="4"/>
        <v>0.12348989898989898</v>
      </c>
      <c r="O10" s="22">
        <f t="shared" si="1"/>
        <v>2445100</v>
      </c>
      <c r="P10" s="17"/>
      <c r="Q10" s="8" t="s">
        <v>68</v>
      </c>
      <c r="R10" s="8"/>
    </row>
    <row r="11" spans="1:21" ht="27" customHeight="1" x14ac:dyDescent="0.2">
      <c r="A11" s="1">
        <v>10</v>
      </c>
      <c r="B11" s="2" t="s">
        <v>86</v>
      </c>
      <c r="C11" s="3">
        <v>17900000</v>
      </c>
      <c r="D11" s="3" t="s">
        <v>52</v>
      </c>
      <c r="E11" s="3">
        <f t="shared" si="2"/>
        <v>19690000</v>
      </c>
      <c r="F11" s="3">
        <f>5720000+800000</f>
        <v>6520000</v>
      </c>
      <c r="G11" s="3">
        <v>4604900</v>
      </c>
      <c r="H11" s="3">
        <f t="shared" si="3"/>
        <v>11124900</v>
      </c>
      <c r="I11" s="3">
        <f t="shared" si="5"/>
        <v>19700000</v>
      </c>
      <c r="J11" s="3">
        <f>I11+I22</f>
        <v>26300000</v>
      </c>
      <c r="K11" s="18">
        <f t="shared" si="0"/>
        <v>0.57699999999999996</v>
      </c>
      <c r="L11" s="17">
        <v>0.1</v>
      </c>
      <c r="M11" s="17">
        <v>0.1</v>
      </c>
      <c r="N11" s="29">
        <f t="shared" si="4"/>
        <v>0.377</v>
      </c>
      <c r="O11" s="25">
        <f t="shared" si="1"/>
        <v>9915100</v>
      </c>
      <c r="P11" s="17"/>
      <c r="Q11" s="8" t="s">
        <v>68</v>
      </c>
      <c r="R11" s="8"/>
    </row>
    <row r="12" spans="1:21" ht="27" customHeight="1" x14ac:dyDescent="0.2">
      <c r="A12" s="1">
        <v>11</v>
      </c>
      <c r="B12" s="2" t="s">
        <v>87</v>
      </c>
      <c r="C12" s="3">
        <v>18900000</v>
      </c>
      <c r="D12" s="3" t="s">
        <v>53</v>
      </c>
      <c r="E12" s="3">
        <f t="shared" si="2"/>
        <v>20790000</v>
      </c>
      <c r="F12" s="3">
        <f>8000000+800000</f>
        <v>8800000</v>
      </c>
      <c r="G12" s="3">
        <v>4604900</v>
      </c>
      <c r="H12" s="3">
        <f t="shared" si="3"/>
        <v>13404900</v>
      </c>
      <c r="I12" s="3">
        <f t="shared" si="5"/>
        <v>20800000</v>
      </c>
      <c r="J12" s="3">
        <f>I12+I22</f>
        <v>27400000</v>
      </c>
      <c r="K12" s="18">
        <f t="shared" si="0"/>
        <v>0.51077007299270072</v>
      </c>
      <c r="L12" s="17">
        <v>0.1</v>
      </c>
      <c r="M12" s="17">
        <v>0.1</v>
      </c>
      <c r="N12" s="21">
        <f t="shared" si="4"/>
        <v>0.31077007299270076</v>
      </c>
      <c r="O12" s="25">
        <f t="shared" si="1"/>
        <v>8515100</v>
      </c>
      <c r="P12" s="17"/>
      <c r="Q12" s="8" t="s">
        <v>69</v>
      </c>
      <c r="R12" s="8"/>
    </row>
    <row r="13" spans="1:21" ht="27" customHeight="1" x14ac:dyDescent="0.2">
      <c r="A13" s="1">
        <v>12</v>
      </c>
      <c r="B13" s="2" t="s">
        <v>88</v>
      </c>
      <c r="C13" s="3">
        <v>20000000</v>
      </c>
      <c r="D13" s="3" t="s">
        <v>54</v>
      </c>
      <c r="E13" s="3">
        <f t="shared" si="2"/>
        <v>22000000</v>
      </c>
      <c r="F13" s="3">
        <f>4525000+800000</f>
        <v>5325000</v>
      </c>
      <c r="G13" s="3">
        <v>4604900</v>
      </c>
      <c r="H13" s="3">
        <f t="shared" si="3"/>
        <v>9929900</v>
      </c>
      <c r="I13" s="3">
        <f t="shared" si="5"/>
        <v>22000000</v>
      </c>
      <c r="J13" s="3">
        <f>I13+I22</f>
        <v>28600000</v>
      </c>
      <c r="K13" s="18">
        <f t="shared" si="0"/>
        <v>0.65280069930069928</v>
      </c>
      <c r="L13" s="17">
        <v>0.1</v>
      </c>
      <c r="M13" s="17">
        <v>0.1</v>
      </c>
      <c r="N13" s="19">
        <f t="shared" si="4"/>
        <v>0.45280069930069933</v>
      </c>
      <c r="O13" s="25">
        <f t="shared" si="1"/>
        <v>12950100</v>
      </c>
      <c r="P13" s="17"/>
      <c r="Q13" s="8" t="s">
        <v>69</v>
      </c>
      <c r="R13" s="8"/>
    </row>
    <row r="14" spans="1:21" ht="27" customHeight="1" x14ac:dyDescent="0.2">
      <c r="A14" s="1">
        <v>13</v>
      </c>
      <c r="B14" s="2" t="s">
        <v>89</v>
      </c>
      <c r="C14" s="3">
        <v>21000000</v>
      </c>
      <c r="D14" s="3" t="s">
        <v>50</v>
      </c>
      <c r="E14" s="3">
        <f t="shared" si="2"/>
        <v>23100000</v>
      </c>
      <c r="F14" s="3">
        <f>12000000+800000</f>
        <v>12800000</v>
      </c>
      <c r="G14" s="3">
        <v>4604900</v>
      </c>
      <c r="H14" s="3">
        <f t="shared" si="3"/>
        <v>17404900</v>
      </c>
      <c r="I14" s="3">
        <f t="shared" si="5"/>
        <v>23100000</v>
      </c>
      <c r="J14" s="3">
        <f>I14+I22</f>
        <v>29700000</v>
      </c>
      <c r="K14" s="17">
        <f t="shared" si="0"/>
        <v>0.413976430976431</v>
      </c>
      <c r="L14" s="17">
        <v>0.1</v>
      </c>
      <c r="M14" s="17">
        <v>0.1</v>
      </c>
      <c r="N14" s="21">
        <f t="shared" si="4"/>
        <v>0.21397643097643101</v>
      </c>
      <c r="O14" s="22">
        <f t="shared" si="1"/>
        <v>6355100.0000000009</v>
      </c>
      <c r="P14" s="17"/>
      <c r="Q14" s="8" t="s">
        <v>69</v>
      </c>
      <c r="R14" s="8"/>
    </row>
    <row r="15" spans="1:21" ht="27" customHeight="1" x14ac:dyDescent="0.2">
      <c r="A15" s="1">
        <v>14</v>
      </c>
      <c r="B15" s="2" t="s">
        <v>90</v>
      </c>
      <c r="C15" s="3">
        <v>25000000</v>
      </c>
      <c r="D15" s="3" t="s">
        <v>51</v>
      </c>
      <c r="E15" s="3">
        <f t="shared" si="2"/>
        <v>27500000</v>
      </c>
      <c r="F15" s="3">
        <f>4950000+800000</f>
        <v>5750000</v>
      </c>
      <c r="G15" s="3">
        <v>4604900</v>
      </c>
      <c r="H15" s="3">
        <f t="shared" si="3"/>
        <v>10354900</v>
      </c>
      <c r="I15" s="3">
        <f t="shared" si="5"/>
        <v>27500000</v>
      </c>
      <c r="J15" s="3">
        <f>I15+I22</f>
        <v>34100000</v>
      </c>
      <c r="K15" s="18">
        <f t="shared" si="0"/>
        <v>0.69633724340175951</v>
      </c>
      <c r="L15" s="17">
        <v>0.1</v>
      </c>
      <c r="M15" s="17">
        <v>0.1</v>
      </c>
      <c r="N15" s="19">
        <f t="shared" si="4"/>
        <v>0.49633724340175955</v>
      </c>
      <c r="O15" s="25">
        <f t="shared" si="1"/>
        <v>16925100</v>
      </c>
      <c r="P15" s="17"/>
      <c r="Q15" s="8" t="s">
        <v>69</v>
      </c>
      <c r="R15" s="8"/>
    </row>
    <row r="16" spans="1:21" ht="27" customHeight="1" x14ac:dyDescent="0.2">
      <c r="A16" s="1">
        <v>15</v>
      </c>
      <c r="B16" s="2" t="s">
        <v>91</v>
      </c>
      <c r="C16" s="3">
        <v>21000000</v>
      </c>
      <c r="D16" s="3" t="s">
        <v>53</v>
      </c>
      <c r="E16" s="3">
        <f t="shared" si="2"/>
        <v>23100000</v>
      </c>
      <c r="F16" s="3">
        <f>12000000+800000</f>
        <v>12800000</v>
      </c>
      <c r="G16" s="3">
        <v>4604900</v>
      </c>
      <c r="H16" s="3">
        <f t="shared" si="3"/>
        <v>17404900</v>
      </c>
      <c r="I16" s="3">
        <f t="shared" si="5"/>
        <v>23100000</v>
      </c>
      <c r="J16" s="3">
        <f>I16+I22</f>
        <v>29700000</v>
      </c>
      <c r="K16" s="18">
        <f t="shared" si="0"/>
        <v>0.413976430976431</v>
      </c>
      <c r="L16" s="17">
        <v>0.1</v>
      </c>
      <c r="M16" s="17">
        <v>0.1</v>
      </c>
      <c r="N16" s="21">
        <f t="shared" si="4"/>
        <v>0.21397643097643101</v>
      </c>
      <c r="O16" s="25">
        <f t="shared" si="1"/>
        <v>6355100.0000000009</v>
      </c>
      <c r="P16" s="17"/>
      <c r="Q16" s="8" t="s">
        <v>70</v>
      </c>
      <c r="R16" s="8"/>
    </row>
    <row r="17" spans="1:18" ht="27" customHeight="1" x14ac:dyDescent="0.2">
      <c r="A17" s="1">
        <v>16</v>
      </c>
      <c r="B17" s="2" t="s">
        <v>92</v>
      </c>
      <c r="C17" s="3">
        <v>29900000</v>
      </c>
      <c r="D17" s="3" t="s">
        <v>55</v>
      </c>
      <c r="E17" s="3">
        <f t="shared" si="2"/>
        <v>32890000</v>
      </c>
      <c r="F17" s="3">
        <f>14000000+800000</f>
        <v>14800000</v>
      </c>
      <c r="G17" s="3">
        <v>4604900</v>
      </c>
      <c r="H17" s="3">
        <f t="shared" si="3"/>
        <v>19404900</v>
      </c>
      <c r="I17" s="3">
        <f t="shared" si="5"/>
        <v>32900000</v>
      </c>
      <c r="J17" s="3">
        <f>I17+I22</f>
        <v>39500000</v>
      </c>
      <c r="K17" s="18">
        <f t="shared" si="0"/>
        <v>0.5087367088607595</v>
      </c>
      <c r="L17" s="17">
        <v>0.1</v>
      </c>
      <c r="M17" s="17">
        <v>0.1</v>
      </c>
      <c r="N17" s="21">
        <f t="shared" si="4"/>
        <v>0.30873670886075955</v>
      </c>
      <c r="O17" s="25">
        <f t="shared" si="1"/>
        <v>12195100.000000002</v>
      </c>
      <c r="P17" s="17"/>
      <c r="Q17" s="8" t="s">
        <v>70</v>
      </c>
      <c r="R17" s="8"/>
    </row>
    <row r="18" spans="1:18" ht="27" customHeight="1" x14ac:dyDescent="0.2">
      <c r="A18" s="1">
        <v>17</v>
      </c>
      <c r="B18" s="2" t="s">
        <v>93</v>
      </c>
      <c r="C18" s="3">
        <v>29900000</v>
      </c>
      <c r="D18" s="3" t="s">
        <v>56</v>
      </c>
      <c r="E18" s="3">
        <f t="shared" si="2"/>
        <v>32890000</v>
      </c>
      <c r="F18" s="3">
        <f>14000000+800000</f>
        <v>14800000</v>
      </c>
      <c r="G18" s="3">
        <v>4604900</v>
      </c>
      <c r="H18" s="3">
        <f t="shared" si="3"/>
        <v>19404900</v>
      </c>
      <c r="I18" s="3">
        <f t="shared" si="5"/>
        <v>32900000</v>
      </c>
      <c r="J18" s="3">
        <f>I18+I22</f>
        <v>39500000</v>
      </c>
      <c r="K18" s="18">
        <f t="shared" si="0"/>
        <v>0.5087367088607595</v>
      </c>
      <c r="L18" s="17">
        <v>0.1</v>
      </c>
      <c r="M18" s="17">
        <v>0.1</v>
      </c>
      <c r="N18" s="21">
        <f t="shared" si="4"/>
        <v>0.30873670886075955</v>
      </c>
      <c r="O18" s="25">
        <f t="shared" si="1"/>
        <v>12195100.000000002</v>
      </c>
      <c r="P18" s="17"/>
      <c r="Q18" s="8" t="s">
        <v>50</v>
      </c>
      <c r="R18" s="8"/>
    </row>
    <row r="19" spans="1:18" ht="27" customHeight="1" x14ac:dyDescent="0.2">
      <c r="A19" s="1">
        <v>18</v>
      </c>
      <c r="B19" s="2" t="s">
        <v>94</v>
      </c>
      <c r="C19" s="3">
        <v>20000000</v>
      </c>
      <c r="D19" s="3" t="s">
        <v>57</v>
      </c>
      <c r="E19" s="3">
        <f t="shared" si="2"/>
        <v>22000000</v>
      </c>
      <c r="F19" s="3">
        <f>6760000+800000</f>
        <v>7560000</v>
      </c>
      <c r="G19" s="3">
        <v>4940900</v>
      </c>
      <c r="H19" s="3">
        <f t="shared" si="3"/>
        <v>12500900</v>
      </c>
      <c r="I19" s="3">
        <f t="shared" si="5"/>
        <v>22000000</v>
      </c>
      <c r="J19" s="3">
        <f>I19+I22</f>
        <v>28600000</v>
      </c>
      <c r="K19" s="18">
        <f t="shared" si="0"/>
        <v>0.5629055944055944</v>
      </c>
      <c r="L19" s="17">
        <v>0.1</v>
      </c>
      <c r="M19" s="17">
        <v>0.1</v>
      </c>
      <c r="N19" s="21">
        <f t="shared" si="4"/>
        <v>0.36290559440559444</v>
      </c>
      <c r="O19" s="25">
        <f t="shared" si="1"/>
        <v>10379100.000000002</v>
      </c>
      <c r="P19" s="17"/>
      <c r="Q19" s="8" t="s">
        <v>70</v>
      </c>
      <c r="R19" s="8"/>
    </row>
    <row r="20" spans="1:18" ht="27" customHeight="1" x14ac:dyDescent="0.2">
      <c r="A20" s="1">
        <v>19</v>
      </c>
      <c r="B20" s="2" t="s">
        <v>95</v>
      </c>
      <c r="C20" s="3">
        <v>30000000</v>
      </c>
      <c r="D20" s="3" t="s">
        <v>57</v>
      </c>
      <c r="E20" s="3">
        <f t="shared" si="2"/>
        <v>33000000</v>
      </c>
      <c r="F20" s="3">
        <f>14000000+800000</f>
        <v>14800000</v>
      </c>
      <c r="G20" s="3">
        <v>4940900</v>
      </c>
      <c r="H20" s="3">
        <f t="shared" si="3"/>
        <v>19740900</v>
      </c>
      <c r="I20" s="3">
        <f t="shared" si="5"/>
        <v>33000000</v>
      </c>
      <c r="J20" s="3">
        <f>I20+I22</f>
        <v>39600000</v>
      </c>
      <c r="K20" s="18">
        <f t="shared" si="0"/>
        <v>0.50149242424242424</v>
      </c>
      <c r="L20" s="17">
        <v>0.1</v>
      </c>
      <c r="M20" s="17">
        <v>0.1</v>
      </c>
      <c r="N20" s="21">
        <f t="shared" si="4"/>
        <v>0.30149242424242428</v>
      </c>
      <c r="O20" s="25">
        <f t="shared" si="1"/>
        <v>11939100.000000002</v>
      </c>
      <c r="P20" s="17"/>
      <c r="Q20" s="8" t="s">
        <v>70</v>
      </c>
      <c r="R20" s="8"/>
    </row>
    <row r="21" spans="1:18" ht="27" customHeight="1" x14ac:dyDescent="0.2">
      <c r="A21" s="1">
        <v>20</v>
      </c>
      <c r="B21" s="4" t="s">
        <v>3</v>
      </c>
      <c r="C21" s="5">
        <v>4000000</v>
      </c>
      <c r="D21" s="3" t="s">
        <v>59</v>
      </c>
      <c r="E21" s="3">
        <f t="shared" si="2"/>
        <v>4400000</v>
      </c>
      <c r="F21" s="3"/>
      <c r="G21" s="3"/>
      <c r="H21" s="3"/>
      <c r="I21" s="3">
        <f t="shared" si="5"/>
        <v>4400000</v>
      </c>
      <c r="J21" s="3"/>
      <c r="K21" s="3"/>
      <c r="L21" s="3"/>
      <c r="M21" s="3"/>
      <c r="N21" s="23"/>
      <c r="O21" s="23"/>
      <c r="P21" s="3"/>
      <c r="Q21" s="8"/>
      <c r="R21" s="8"/>
    </row>
    <row r="22" spans="1:18" ht="27" customHeight="1" x14ac:dyDescent="0.2">
      <c r="A22" s="1">
        <v>21</v>
      </c>
      <c r="B22" s="4" t="s">
        <v>4</v>
      </c>
      <c r="C22" s="5">
        <v>6000000</v>
      </c>
      <c r="D22" s="3" t="s">
        <v>59</v>
      </c>
      <c r="E22" s="3">
        <f t="shared" si="2"/>
        <v>6600000</v>
      </c>
      <c r="F22" s="3"/>
      <c r="G22" s="3"/>
      <c r="H22" s="3"/>
      <c r="I22" s="3">
        <f t="shared" si="5"/>
        <v>6600000</v>
      </c>
      <c r="J22" s="3"/>
      <c r="K22" s="3"/>
      <c r="L22" s="3"/>
      <c r="M22" s="3"/>
      <c r="N22" s="23"/>
      <c r="O22" s="23"/>
      <c r="P22" s="3"/>
      <c r="Q22" s="8"/>
      <c r="R22" s="8"/>
    </row>
    <row r="23" spans="1:18" ht="27" customHeight="1" x14ac:dyDescent="0.2">
      <c r="A23" s="1">
        <v>22</v>
      </c>
      <c r="B23" s="4" t="s">
        <v>5</v>
      </c>
      <c r="C23" s="5">
        <v>5000000</v>
      </c>
      <c r="D23" s="3" t="s">
        <v>59</v>
      </c>
      <c r="E23" s="3">
        <f t="shared" si="2"/>
        <v>5500000</v>
      </c>
      <c r="F23" s="3"/>
      <c r="G23" s="3"/>
      <c r="H23" s="3"/>
      <c r="I23" s="3">
        <f t="shared" si="5"/>
        <v>5500000</v>
      </c>
      <c r="J23" s="3"/>
      <c r="K23" s="3"/>
      <c r="L23" s="3"/>
      <c r="M23" s="3"/>
      <c r="N23" s="23"/>
      <c r="O23" s="23"/>
      <c r="P23" s="3"/>
      <c r="Q23" s="8"/>
      <c r="R23" s="8"/>
    </row>
    <row r="24" spans="1:18" ht="27" customHeight="1" x14ac:dyDescent="0.2">
      <c r="A24" s="1">
        <v>23</v>
      </c>
      <c r="B24" s="4" t="s">
        <v>6</v>
      </c>
      <c r="C24" s="5">
        <v>7000000</v>
      </c>
      <c r="D24" s="3" t="s">
        <v>59</v>
      </c>
      <c r="E24" s="3">
        <f t="shared" si="2"/>
        <v>7700000</v>
      </c>
      <c r="F24" s="3"/>
      <c r="G24" s="3"/>
      <c r="H24" s="3"/>
      <c r="I24" s="3">
        <f t="shared" si="5"/>
        <v>7700000</v>
      </c>
      <c r="J24" s="3"/>
      <c r="K24" s="3"/>
      <c r="L24" s="3"/>
      <c r="M24" s="3"/>
      <c r="N24" s="23"/>
      <c r="O24" s="23"/>
      <c r="P24" s="3"/>
      <c r="Q24" s="8"/>
      <c r="R24" s="8"/>
    </row>
    <row r="25" spans="1:18" ht="27" customHeight="1" x14ac:dyDescent="0.2">
      <c r="A25" s="1">
        <v>24</v>
      </c>
      <c r="B25" s="1" t="s">
        <v>7</v>
      </c>
      <c r="C25" s="5">
        <v>5000000</v>
      </c>
      <c r="D25" s="3" t="s">
        <v>59</v>
      </c>
      <c r="E25" s="3">
        <f t="shared" si="2"/>
        <v>5500000</v>
      </c>
      <c r="F25" s="3"/>
      <c r="G25" s="3"/>
      <c r="H25" s="3"/>
      <c r="I25" s="3">
        <f t="shared" si="5"/>
        <v>5500000</v>
      </c>
      <c r="J25" s="3"/>
      <c r="K25" s="3"/>
      <c r="L25" s="3"/>
      <c r="M25" s="3"/>
      <c r="N25" s="23"/>
      <c r="O25" s="23"/>
      <c r="P25" s="3"/>
      <c r="Q25" s="8"/>
      <c r="R25" s="8"/>
    </row>
    <row r="26" spans="1:18" ht="27" customHeight="1" x14ac:dyDescent="0.2">
      <c r="A26" s="1">
        <v>25</v>
      </c>
      <c r="B26" s="1" t="s">
        <v>8</v>
      </c>
      <c r="C26" s="5">
        <v>4500000</v>
      </c>
      <c r="D26" s="3" t="s">
        <v>60</v>
      </c>
      <c r="E26" s="3">
        <f t="shared" si="2"/>
        <v>4950000</v>
      </c>
      <c r="F26" s="3"/>
      <c r="G26" s="3"/>
      <c r="H26" s="3"/>
      <c r="I26" s="3">
        <f t="shared" si="5"/>
        <v>5000000</v>
      </c>
      <c r="J26" s="3"/>
      <c r="K26" s="3"/>
      <c r="L26" s="3"/>
      <c r="M26" s="3"/>
      <c r="N26" s="23"/>
      <c r="O26" s="23"/>
      <c r="P26" s="3"/>
      <c r="Q26" s="8"/>
      <c r="R26" s="8"/>
    </row>
    <row r="27" spans="1:18" ht="27" customHeight="1" x14ac:dyDescent="0.2">
      <c r="A27" s="1">
        <v>26</v>
      </c>
      <c r="B27" s="1" t="s">
        <v>9</v>
      </c>
      <c r="C27" s="5">
        <v>22000000</v>
      </c>
      <c r="D27" s="3" t="s">
        <v>61</v>
      </c>
      <c r="E27" s="3">
        <f t="shared" si="2"/>
        <v>24200000</v>
      </c>
      <c r="F27" s="3"/>
      <c r="G27" s="3"/>
      <c r="H27" s="3"/>
      <c r="I27" s="3">
        <f t="shared" si="5"/>
        <v>24200000</v>
      </c>
      <c r="J27" s="3"/>
      <c r="K27" s="3"/>
      <c r="L27" s="3"/>
      <c r="M27" s="3"/>
      <c r="N27" s="23"/>
      <c r="O27" s="23"/>
      <c r="P27" s="3"/>
      <c r="Q27" s="8"/>
      <c r="R27" s="8"/>
    </row>
    <row r="28" spans="1:18" ht="27" customHeight="1" x14ac:dyDescent="0.2">
      <c r="A28" s="1">
        <v>27</v>
      </c>
      <c r="B28" s="1" t="s">
        <v>10</v>
      </c>
      <c r="C28" s="5">
        <v>5500000</v>
      </c>
      <c r="D28" s="3" t="s">
        <v>60</v>
      </c>
      <c r="E28" s="3">
        <f t="shared" si="2"/>
        <v>6050000</v>
      </c>
      <c r="F28" s="3"/>
      <c r="G28" s="3"/>
      <c r="H28" s="3"/>
      <c r="I28" s="3">
        <f t="shared" si="5"/>
        <v>6100000</v>
      </c>
      <c r="J28" s="3"/>
      <c r="K28" s="3"/>
      <c r="L28" s="3"/>
      <c r="M28" s="3"/>
      <c r="N28" s="23"/>
      <c r="O28" s="23"/>
      <c r="P28" s="3"/>
      <c r="Q28" s="8"/>
      <c r="R28" s="8"/>
    </row>
    <row r="29" spans="1:18" ht="27" customHeight="1" x14ac:dyDescent="0.2">
      <c r="A29" s="1">
        <v>28</v>
      </c>
      <c r="B29" s="1" t="s">
        <v>11</v>
      </c>
      <c r="C29" s="5">
        <v>9500000</v>
      </c>
      <c r="D29" s="3" t="s">
        <v>60</v>
      </c>
      <c r="E29" s="3">
        <f t="shared" si="2"/>
        <v>10450000</v>
      </c>
      <c r="F29" s="3"/>
      <c r="G29" s="3"/>
      <c r="H29" s="3"/>
      <c r="I29" s="3">
        <f t="shared" si="5"/>
        <v>10500000</v>
      </c>
      <c r="J29" s="3"/>
      <c r="K29" s="3"/>
      <c r="L29" s="3"/>
      <c r="M29" s="3"/>
      <c r="N29" s="23"/>
      <c r="O29" s="23"/>
      <c r="P29" s="3"/>
      <c r="Q29" s="8"/>
      <c r="R29" s="8"/>
    </row>
    <row r="30" spans="1:18" ht="27" customHeight="1" x14ac:dyDescent="0.2">
      <c r="A30" s="1">
        <v>29</v>
      </c>
      <c r="B30" s="1" t="s">
        <v>12</v>
      </c>
      <c r="C30" s="5">
        <v>13500000</v>
      </c>
      <c r="D30" s="3" t="s">
        <v>60</v>
      </c>
      <c r="E30" s="3">
        <f t="shared" si="2"/>
        <v>14850000</v>
      </c>
      <c r="F30" s="3"/>
      <c r="G30" s="3"/>
      <c r="H30" s="3"/>
      <c r="I30" s="3">
        <f t="shared" si="5"/>
        <v>14900000</v>
      </c>
      <c r="J30" s="3"/>
      <c r="K30" s="3"/>
      <c r="L30" s="3"/>
      <c r="M30" s="3"/>
      <c r="N30" s="23"/>
      <c r="O30" s="23"/>
      <c r="P30" s="3"/>
      <c r="Q30" s="8"/>
      <c r="R30" s="8"/>
    </row>
    <row r="31" spans="1:18" ht="27" customHeight="1" x14ac:dyDescent="0.2">
      <c r="A31" s="1">
        <v>30</v>
      </c>
      <c r="B31" s="1" t="s">
        <v>13</v>
      </c>
      <c r="C31" s="5">
        <v>18000000</v>
      </c>
      <c r="D31" s="3" t="s">
        <v>60</v>
      </c>
      <c r="E31" s="3">
        <f t="shared" si="2"/>
        <v>19800000</v>
      </c>
      <c r="F31" s="3"/>
      <c r="G31" s="3"/>
      <c r="H31" s="3"/>
      <c r="I31" s="3">
        <f t="shared" si="5"/>
        <v>19800000</v>
      </c>
      <c r="J31" s="3"/>
      <c r="K31" s="3"/>
      <c r="L31" s="3"/>
      <c r="M31" s="3"/>
      <c r="N31" s="23"/>
      <c r="O31" s="23"/>
      <c r="P31" s="3"/>
      <c r="Q31" s="8"/>
      <c r="R31" s="8"/>
    </row>
    <row r="32" spans="1:18" ht="27" customHeight="1" x14ac:dyDescent="0.2">
      <c r="A32" s="1">
        <v>31</v>
      </c>
      <c r="B32" s="1" t="s">
        <v>14</v>
      </c>
      <c r="C32" s="5">
        <v>35000000</v>
      </c>
      <c r="D32" s="3" t="s">
        <v>60</v>
      </c>
      <c r="E32" s="3">
        <f t="shared" si="2"/>
        <v>38500000</v>
      </c>
      <c r="F32" s="3"/>
      <c r="G32" s="3"/>
      <c r="H32" s="3"/>
      <c r="I32" s="3">
        <f t="shared" si="5"/>
        <v>38500000</v>
      </c>
      <c r="J32" s="3"/>
      <c r="K32" s="3"/>
      <c r="L32" s="3"/>
      <c r="M32" s="3"/>
      <c r="N32" s="23"/>
      <c r="O32" s="23"/>
      <c r="P32" s="3"/>
      <c r="Q32" s="8"/>
      <c r="R32" s="8"/>
    </row>
    <row r="33" spans="1:18" ht="27" customHeight="1" x14ac:dyDescent="0.2">
      <c r="A33" s="1">
        <v>32</v>
      </c>
      <c r="B33" s="1" t="s">
        <v>15</v>
      </c>
      <c r="C33" s="5">
        <v>3000000</v>
      </c>
      <c r="D33" s="3" t="s">
        <v>60</v>
      </c>
      <c r="E33" s="3">
        <f t="shared" si="2"/>
        <v>3300000</v>
      </c>
      <c r="F33" s="3"/>
      <c r="G33" s="3"/>
      <c r="H33" s="3"/>
      <c r="I33" s="3">
        <f t="shared" si="5"/>
        <v>3300000</v>
      </c>
      <c r="J33" s="3"/>
      <c r="K33" s="3"/>
      <c r="L33" s="3"/>
      <c r="M33" s="3"/>
      <c r="N33" s="23"/>
      <c r="O33" s="23"/>
      <c r="P33" s="3"/>
      <c r="Q33" s="8"/>
      <c r="R33" s="8"/>
    </row>
    <row r="34" spans="1:18" ht="27" customHeight="1" x14ac:dyDescent="0.2">
      <c r="A34" s="1">
        <v>33</v>
      </c>
      <c r="B34" s="1" t="s">
        <v>16</v>
      </c>
      <c r="C34" s="5">
        <v>8000000</v>
      </c>
      <c r="D34" s="3" t="s">
        <v>59</v>
      </c>
      <c r="E34" s="3">
        <f t="shared" si="2"/>
        <v>8800000</v>
      </c>
      <c r="F34" s="3"/>
      <c r="G34" s="3"/>
      <c r="H34" s="3"/>
      <c r="I34" s="3">
        <f t="shared" si="5"/>
        <v>8800000</v>
      </c>
      <c r="J34" s="3"/>
      <c r="K34" s="3"/>
      <c r="L34" s="3"/>
      <c r="M34" s="3"/>
      <c r="N34" s="23"/>
      <c r="O34" s="23"/>
      <c r="P34" s="3"/>
      <c r="Q34" s="8"/>
      <c r="R34" s="8"/>
    </row>
    <row r="35" spans="1:18" ht="27" customHeight="1" x14ac:dyDescent="0.2">
      <c r="A35" s="1">
        <v>34</v>
      </c>
      <c r="B35" s="1" t="s">
        <v>17</v>
      </c>
      <c r="C35" s="5">
        <v>39000000</v>
      </c>
      <c r="D35" s="3" t="s">
        <v>59</v>
      </c>
      <c r="E35" s="3">
        <f t="shared" si="2"/>
        <v>42900000</v>
      </c>
      <c r="F35" s="3"/>
      <c r="G35" s="3"/>
      <c r="H35" s="3"/>
      <c r="I35" s="3">
        <f t="shared" si="5"/>
        <v>42900000</v>
      </c>
      <c r="J35" s="3"/>
      <c r="K35" s="3"/>
      <c r="L35" s="3"/>
      <c r="M35" s="3"/>
      <c r="N35" s="23"/>
      <c r="O35" s="23"/>
      <c r="P35" s="3"/>
      <c r="Q35" s="8"/>
      <c r="R35" s="8"/>
    </row>
    <row r="36" spans="1:18" ht="27" customHeight="1" x14ac:dyDescent="0.2">
      <c r="A36" s="1">
        <v>35</v>
      </c>
      <c r="B36" s="1" t="s">
        <v>18</v>
      </c>
      <c r="C36" s="5">
        <v>49000000</v>
      </c>
      <c r="D36" s="3" t="s">
        <v>59</v>
      </c>
      <c r="E36" s="3">
        <f t="shared" si="2"/>
        <v>53900000</v>
      </c>
      <c r="F36" s="3"/>
      <c r="G36" s="3"/>
      <c r="H36" s="3"/>
      <c r="I36" s="3">
        <f t="shared" si="5"/>
        <v>53900000</v>
      </c>
      <c r="J36" s="3"/>
      <c r="K36" s="3"/>
      <c r="L36" s="3"/>
      <c r="M36" s="3"/>
      <c r="N36" s="23"/>
      <c r="O36" s="23"/>
      <c r="P36" s="3"/>
      <c r="Q36" s="8"/>
      <c r="R36" s="8"/>
    </row>
    <row r="37" spans="1:18" ht="27" customHeight="1" x14ac:dyDescent="0.2">
      <c r="A37" s="1">
        <v>36</v>
      </c>
      <c r="B37" s="1" t="s">
        <v>19</v>
      </c>
      <c r="C37" s="5">
        <v>18000000</v>
      </c>
      <c r="D37" s="3" t="s">
        <v>59</v>
      </c>
      <c r="E37" s="3">
        <f t="shared" si="2"/>
        <v>19800000</v>
      </c>
      <c r="F37" s="3"/>
      <c r="G37" s="3"/>
      <c r="H37" s="3"/>
      <c r="I37" s="3">
        <f t="shared" si="5"/>
        <v>19800000</v>
      </c>
      <c r="J37" s="3"/>
      <c r="K37" s="3"/>
      <c r="L37" s="3"/>
      <c r="M37" s="3"/>
      <c r="N37" s="23"/>
      <c r="O37" s="23"/>
      <c r="P37" s="3"/>
      <c r="Q37" s="8"/>
      <c r="R37" s="8"/>
    </row>
    <row r="38" spans="1:18" ht="27" customHeight="1" x14ac:dyDescent="0.2">
      <c r="A38" s="1">
        <v>37</v>
      </c>
      <c r="B38" s="1" t="s">
        <v>20</v>
      </c>
      <c r="C38" s="5">
        <v>1000000</v>
      </c>
      <c r="D38" s="3" t="s">
        <v>59</v>
      </c>
      <c r="E38" s="3">
        <f t="shared" si="2"/>
        <v>1100000</v>
      </c>
      <c r="F38" s="3"/>
      <c r="G38" s="3"/>
      <c r="H38" s="3"/>
      <c r="I38" s="3">
        <f t="shared" si="5"/>
        <v>1100000</v>
      </c>
      <c r="J38" s="3"/>
      <c r="K38" s="3"/>
      <c r="L38" s="3"/>
      <c r="M38" s="3"/>
      <c r="N38" s="23"/>
      <c r="O38" s="23"/>
      <c r="P38" s="3"/>
      <c r="Q38" s="8"/>
      <c r="R38" s="8"/>
    </row>
    <row r="39" spans="1:18" ht="27" customHeight="1" x14ac:dyDescent="0.2">
      <c r="A39" s="1">
        <v>38</v>
      </c>
      <c r="B39" s="1" t="s">
        <v>21</v>
      </c>
      <c r="C39" s="5">
        <v>5000000</v>
      </c>
      <c r="D39" s="3" t="s">
        <v>59</v>
      </c>
      <c r="E39" s="3">
        <f t="shared" si="2"/>
        <v>5500000</v>
      </c>
      <c r="F39" s="3"/>
      <c r="G39" s="3"/>
      <c r="H39" s="3"/>
      <c r="I39" s="3">
        <f t="shared" si="5"/>
        <v>5500000</v>
      </c>
      <c r="J39" s="3"/>
      <c r="K39" s="3"/>
      <c r="L39" s="3"/>
      <c r="M39" s="3"/>
      <c r="N39" s="23"/>
      <c r="O39" s="23"/>
      <c r="P39" s="3"/>
      <c r="Q39" s="8"/>
      <c r="R39" s="8"/>
    </row>
    <row r="40" spans="1:18" ht="27" customHeight="1" x14ac:dyDescent="0.2">
      <c r="A40" s="1">
        <v>39</v>
      </c>
      <c r="B40" s="1" t="s">
        <v>22</v>
      </c>
      <c r="C40" s="5">
        <v>3000000</v>
      </c>
      <c r="D40" s="3" t="s">
        <v>59</v>
      </c>
      <c r="E40" s="3">
        <f t="shared" si="2"/>
        <v>3300000</v>
      </c>
      <c r="F40" s="3"/>
      <c r="G40" s="3"/>
      <c r="H40" s="3"/>
      <c r="I40" s="3">
        <f t="shared" si="5"/>
        <v>3300000</v>
      </c>
      <c r="J40" s="3"/>
      <c r="K40" s="3"/>
      <c r="L40" s="3"/>
      <c r="M40" s="3"/>
      <c r="N40" s="23"/>
      <c r="O40" s="23"/>
      <c r="P40" s="3"/>
      <c r="Q40" s="8"/>
      <c r="R40" s="8"/>
    </row>
    <row r="41" spans="1:18" ht="27" customHeight="1" x14ac:dyDescent="0.2">
      <c r="A41" s="1">
        <v>40</v>
      </c>
      <c r="B41" s="1" t="s">
        <v>23</v>
      </c>
      <c r="C41" s="5">
        <v>6000000</v>
      </c>
      <c r="D41" s="3" t="s">
        <v>59</v>
      </c>
      <c r="E41" s="3">
        <f t="shared" si="2"/>
        <v>6600000</v>
      </c>
      <c r="F41" s="3"/>
      <c r="G41" s="3"/>
      <c r="H41" s="3"/>
      <c r="I41" s="3">
        <f t="shared" si="5"/>
        <v>6600000</v>
      </c>
      <c r="J41" s="3"/>
      <c r="K41" s="3"/>
      <c r="L41" s="3"/>
      <c r="M41" s="3"/>
      <c r="N41" s="23"/>
      <c r="O41" s="23"/>
      <c r="P41" s="3"/>
      <c r="Q41" s="8"/>
      <c r="R41" s="8"/>
    </row>
    <row r="42" spans="1:18" ht="27" customHeight="1" x14ac:dyDescent="0.2">
      <c r="A42" s="1">
        <v>41</v>
      </c>
      <c r="B42" s="1" t="s">
        <v>24</v>
      </c>
      <c r="C42" s="5">
        <v>3000000</v>
      </c>
      <c r="D42" s="3" t="s">
        <v>59</v>
      </c>
      <c r="E42" s="3">
        <f t="shared" si="2"/>
        <v>3300000</v>
      </c>
      <c r="F42" s="3"/>
      <c r="G42" s="3"/>
      <c r="H42" s="3"/>
      <c r="I42" s="3">
        <f t="shared" si="5"/>
        <v>3300000</v>
      </c>
      <c r="J42" s="3"/>
      <c r="K42" s="3"/>
      <c r="L42" s="3"/>
      <c r="M42" s="3"/>
      <c r="N42" s="23"/>
      <c r="O42" s="23"/>
      <c r="P42" s="3"/>
      <c r="Q42" s="8"/>
      <c r="R42" s="8"/>
    </row>
    <row r="43" spans="1:18" ht="27" customHeight="1" x14ac:dyDescent="0.2">
      <c r="A43" s="1">
        <v>42</v>
      </c>
      <c r="B43" s="1" t="s">
        <v>25</v>
      </c>
      <c r="C43" s="5">
        <v>6000000</v>
      </c>
      <c r="D43" s="3" t="s">
        <v>59</v>
      </c>
      <c r="E43" s="3">
        <f t="shared" si="2"/>
        <v>6600000</v>
      </c>
      <c r="F43" s="3"/>
      <c r="G43" s="3"/>
      <c r="H43" s="3"/>
      <c r="I43" s="3">
        <f t="shared" si="5"/>
        <v>6600000</v>
      </c>
      <c r="J43" s="3"/>
      <c r="K43" s="3"/>
      <c r="L43" s="3"/>
      <c r="M43" s="3"/>
      <c r="N43" s="23"/>
      <c r="O43" s="23"/>
      <c r="P43" s="3"/>
      <c r="Q43" s="8"/>
      <c r="R43" s="8"/>
    </row>
    <row r="44" spans="1:18" ht="27" customHeight="1" x14ac:dyDescent="0.2">
      <c r="A44" s="1">
        <v>43</v>
      </c>
      <c r="B44" s="1" t="s">
        <v>73</v>
      </c>
      <c r="C44" s="5">
        <v>2500000</v>
      </c>
      <c r="D44" s="3" t="s">
        <v>74</v>
      </c>
      <c r="E44" s="3">
        <f t="shared" si="2"/>
        <v>2750000</v>
      </c>
      <c r="F44" s="3"/>
      <c r="G44" s="3"/>
      <c r="H44" s="3"/>
      <c r="I44" s="3">
        <f t="shared" si="5"/>
        <v>2800000</v>
      </c>
      <c r="J44" s="3"/>
      <c r="K44" s="3"/>
      <c r="L44" s="3"/>
      <c r="M44" s="3"/>
      <c r="N44" s="23"/>
      <c r="O44" s="23"/>
      <c r="P44" s="3"/>
      <c r="Q44" s="8" t="s">
        <v>63</v>
      </c>
      <c r="R44" s="8"/>
    </row>
    <row r="45" spans="1:18" ht="27" customHeight="1" x14ac:dyDescent="0.2">
      <c r="A45" s="1">
        <v>44</v>
      </c>
      <c r="B45" s="1" t="s">
        <v>101</v>
      </c>
      <c r="C45" s="5">
        <v>5000000</v>
      </c>
      <c r="D45" s="3" t="s">
        <v>49</v>
      </c>
      <c r="E45" s="3">
        <f t="shared" si="2"/>
        <v>5500000</v>
      </c>
      <c r="F45" s="3"/>
      <c r="G45" s="3"/>
      <c r="H45" s="3"/>
      <c r="I45" s="3">
        <f t="shared" si="5"/>
        <v>5500000</v>
      </c>
      <c r="J45" s="3"/>
      <c r="K45" s="3"/>
      <c r="L45" s="3"/>
      <c r="M45" s="3"/>
      <c r="N45" s="23"/>
      <c r="O45" s="23"/>
      <c r="P45" s="3"/>
      <c r="Q45" s="8" t="s">
        <v>71</v>
      </c>
      <c r="R45" s="8"/>
    </row>
    <row r="46" spans="1:18" ht="27" customHeight="1" x14ac:dyDescent="0.2">
      <c r="A46" s="1">
        <v>45</v>
      </c>
      <c r="B46" s="1" t="s">
        <v>96</v>
      </c>
      <c r="C46" s="5">
        <v>6000000</v>
      </c>
      <c r="D46" s="3" t="s">
        <v>75</v>
      </c>
      <c r="E46" s="3">
        <f t="shared" si="2"/>
        <v>6600000</v>
      </c>
      <c r="F46" s="3"/>
      <c r="G46" s="3"/>
      <c r="H46" s="3"/>
      <c r="I46" s="3">
        <f t="shared" si="5"/>
        <v>6600000</v>
      </c>
      <c r="J46" s="3"/>
      <c r="K46" s="3"/>
      <c r="L46" s="3"/>
      <c r="M46" s="3"/>
      <c r="N46" s="23"/>
      <c r="O46" s="23"/>
      <c r="P46" s="3"/>
      <c r="Q46" s="8" t="s">
        <v>64</v>
      </c>
      <c r="R46" s="8" t="s">
        <v>71</v>
      </c>
    </row>
    <row r="47" spans="1:18" ht="27" customHeight="1" x14ac:dyDescent="0.2">
      <c r="A47" s="1">
        <v>46</v>
      </c>
      <c r="B47" s="1" t="s">
        <v>97</v>
      </c>
      <c r="C47" s="5">
        <v>8500000</v>
      </c>
      <c r="D47" s="3" t="s">
        <v>75</v>
      </c>
      <c r="E47" s="3">
        <f t="shared" si="2"/>
        <v>9350000</v>
      </c>
      <c r="F47" s="3"/>
      <c r="G47" s="3"/>
      <c r="H47" s="3"/>
      <c r="I47" s="3">
        <f t="shared" si="5"/>
        <v>9400000</v>
      </c>
      <c r="J47" s="3"/>
      <c r="K47" s="3"/>
      <c r="L47" s="3"/>
      <c r="M47" s="3"/>
      <c r="N47" s="23"/>
      <c r="O47" s="23"/>
      <c r="P47" s="3"/>
      <c r="Q47" s="8" t="s">
        <v>72</v>
      </c>
      <c r="R47" s="8" t="s">
        <v>64</v>
      </c>
    </row>
    <row r="48" spans="1:18" ht="27" customHeight="1" x14ac:dyDescent="0.2">
      <c r="A48" s="1">
        <v>47</v>
      </c>
      <c r="B48" s="1" t="s">
        <v>98</v>
      </c>
      <c r="C48" s="5">
        <v>9500000</v>
      </c>
      <c r="D48" s="3" t="s">
        <v>75</v>
      </c>
      <c r="E48" s="3">
        <f t="shared" si="2"/>
        <v>10450000</v>
      </c>
      <c r="F48" s="3"/>
      <c r="G48" s="3"/>
      <c r="H48" s="3"/>
      <c r="I48" s="3">
        <f t="shared" si="5"/>
        <v>10500000</v>
      </c>
      <c r="J48" s="3"/>
      <c r="K48" s="3"/>
      <c r="L48" s="3"/>
      <c r="M48" s="3"/>
      <c r="N48" s="23"/>
      <c r="O48" s="23"/>
      <c r="P48" s="3"/>
      <c r="Q48" s="8" t="s">
        <v>72</v>
      </c>
      <c r="R48" s="8" t="s">
        <v>72</v>
      </c>
    </row>
    <row r="49" spans="1:18" ht="27" customHeight="1" x14ac:dyDescent="0.2">
      <c r="A49" s="1">
        <v>48</v>
      </c>
      <c r="B49" s="1" t="s">
        <v>99</v>
      </c>
      <c r="C49" s="5">
        <v>11500000</v>
      </c>
      <c r="D49" s="3" t="s">
        <v>50</v>
      </c>
      <c r="E49" s="3">
        <f t="shared" si="2"/>
        <v>12650000</v>
      </c>
      <c r="F49" s="3"/>
      <c r="G49" s="3"/>
      <c r="H49" s="3"/>
      <c r="I49" s="3">
        <f t="shared" si="5"/>
        <v>12700000</v>
      </c>
      <c r="J49" s="3"/>
      <c r="K49" s="3"/>
      <c r="L49" s="3"/>
      <c r="M49" s="3"/>
      <c r="N49" s="23"/>
      <c r="O49" s="23"/>
      <c r="P49" s="3"/>
      <c r="Q49" s="8" t="s">
        <v>76</v>
      </c>
      <c r="R49" s="8" t="s">
        <v>77</v>
      </c>
    </row>
    <row r="50" spans="1:18" ht="27" hidden="1" customHeight="1" x14ac:dyDescent="0.2">
      <c r="A50" s="1">
        <v>49</v>
      </c>
      <c r="B50" s="1" t="s">
        <v>26</v>
      </c>
      <c r="C50" s="5">
        <v>8000000</v>
      </c>
      <c r="D50" s="3" t="s">
        <v>58</v>
      </c>
      <c r="E50" s="3">
        <f t="shared" si="2"/>
        <v>8800000</v>
      </c>
      <c r="F50" s="3"/>
      <c r="G50" s="3"/>
      <c r="H50" s="3"/>
      <c r="I50" s="3"/>
      <c r="J50" s="3"/>
      <c r="K50" s="3"/>
      <c r="L50" s="3"/>
      <c r="M50" s="3"/>
      <c r="N50" s="23"/>
      <c r="O50" s="23"/>
      <c r="P50" s="3"/>
      <c r="Q50" s="8"/>
    </row>
    <row r="51" spans="1:18" ht="27" customHeight="1" x14ac:dyDescent="0.2">
      <c r="Q51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89BA-CA03-0743-A9C8-6F55F783F169}">
  <dimension ref="A1:L9"/>
  <sheetViews>
    <sheetView topLeftCell="E1" workbookViewId="0">
      <selection activeCell="K10" sqref="K10"/>
    </sheetView>
  </sheetViews>
  <sheetFormatPr baseColWidth="10" defaultColWidth="10.6640625" defaultRowHeight="16" x14ac:dyDescent="0.2"/>
  <cols>
    <col min="2" max="2" width="46.33203125" customWidth="1"/>
    <col min="3" max="4" width="14" style="7" customWidth="1"/>
    <col min="5" max="5" width="14.33203125" style="7" customWidth="1"/>
    <col min="6" max="8" width="12.6640625" style="7" customWidth="1"/>
    <col min="10" max="11" width="18" customWidth="1"/>
    <col min="12" max="12" width="13.33203125" style="7" customWidth="1"/>
  </cols>
  <sheetData>
    <row r="1" spans="1:12" x14ac:dyDescent="0.2">
      <c r="C1" s="7" t="s">
        <v>46</v>
      </c>
      <c r="D1" s="7" t="s">
        <v>102</v>
      </c>
      <c r="E1" s="7" t="s">
        <v>37</v>
      </c>
      <c r="K1" t="s">
        <v>102</v>
      </c>
    </row>
    <row r="2" spans="1:12" x14ac:dyDescent="0.2">
      <c r="A2" s="30" t="s">
        <v>27</v>
      </c>
      <c r="B2" s="8" t="s">
        <v>38</v>
      </c>
      <c r="C2" s="10">
        <v>130600</v>
      </c>
      <c r="D2" s="11">
        <v>49600</v>
      </c>
      <c r="E2" s="11"/>
      <c r="F2" s="11"/>
      <c r="G2" s="11"/>
      <c r="H2" s="11"/>
      <c r="I2" s="30" t="s">
        <v>34</v>
      </c>
      <c r="J2" s="8" t="s">
        <v>28</v>
      </c>
      <c r="K2" s="8">
        <v>56400</v>
      </c>
      <c r="L2" s="9">
        <v>153000</v>
      </c>
    </row>
    <row r="3" spans="1:12" x14ac:dyDescent="0.2">
      <c r="A3" s="30"/>
      <c r="B3" s="8" t="s">
        <v>39</v>
      </c>
      <c r="C3" s="10">
        <v>160600</v>
      </c>
      <c r="D3" s="11">
        <v>55600</v>
      </c>
      <c r="E3" s="11"/>
      <c r="F3" s="11"/>
      <c r="G3" s="11"/>
      <c r="H3" s="11"/>
      <c r="I3" s="30"/>
      <c r="J3" s="8" t="s">
        <v>29</v>
      </c>
      <c r="K3" s="8">
        <v>63400</v>
      </c>
      <c r="L3" s="9">
        <v>188400</v>
      </c>
    </row>
    <row r="4" spans="1:12" x14ac:dyDescent="0.2">
      <c r="A4" s="30"/>
      <c r="B4" s="8" t="s">
        <v>40</v>
      </c>
      <c r="C4" s="10">
        <v>142600</v>
      </c>
      <c r="D4" s="11">
        <v>56120</v>
      </c>
      <c r="E4" s="11"/>
      <c r="F4" s="11"/>
      <c r="G4" s="11"/>
      <c r="H4" s="11"/>
      <c r="I4" s="30"/>
      <c r="J4" s="8" t="s">
        <v>30</v>
      </c>
      <c r="K4" s="8">
        <v>65180</v>
      </c>
      <c r="L4" s="9">
        <v>171400</v>
      </c>
    </row>
    <row r="5" spans="1:12" x14ac:dyDescent="0.2">
      <c r="A5" s="30"/>
      <c r="B5" s="8" t="s">
        <v>41</v>
      </c>
      <c r="C5" s="10">
        <v>172600</v>
      </c>
      <c r="D5" s="11">
        <v>62120</v>
      </c>
      <c r="E5" s="11">
        <v>163000</v>
      </c>
      <c r="F5" s="11"/>
      <c r="G5" s="11"/>
      <c r="H5" s="11"/>
      <c r="I5" s="30"/>
      <c r="J5" s="8" t="s">
        <v>31</v>
      </c>
      <c r="K5" s="8">
        <v>72180</v>
      </c>
      <c r="L5" s="9">
        <v>206400</v>
      </c>
    </row>
    <row r="6" spans="1:12" x14ac:dyDescent="0.2">
      <c r="A6" s="30"/>
      <c r="B6" s="8" t="s">
        <v>42</v>
      </c>
      <c r="C6" s="10">
        <v>166600</v>
      </c>
      <c r="D6" s="11">
        <v>60000</v>
      </c>
      <c r="E6" s="11"/>
      <c r="F6" s="11"/>
      <c r="G6" s="11"/>
      <c r="H6" s="11"/>
      <c r="I6" s="30"/>
      <c r="J6" s="8" t="s">
        <v>32</v>
      </c>
      <c r="K6" s="8">
        <v>71000</v>
      </c>
      <c r="L6" s="9">
        <v>207000</v>
      </c>
    </row>
    <row r="7" spans="1:12" x14ac:dyDescent="0.2">
      <c r="A7" s="30"/>
      <c r="B7" s="8" t="s">
        <v>43</v>
      </c>
      <c r="C7" s="10">
        <v>196600</v>
      </c>
      <c r="D7" s="11">
        <v>66000</v>
      </c>
      <c r="E7" s="11">
        <v>187600</v>
      </c>
      <c r="F7" s="11"/>
      <c r="G7" s="11"/>
      <c r="H7" s="11"/>
      <c r="I7" s="30"/>
      <c r="J7" s="8" t="s">
        <v>33</v>
      </c>
      <c r="K7" s="8">
        <v>78000</v>
      </c>
      <c r="L7" s="9">
        <v>242000</v>
      </c>
    </row>
    <row r="8" spans="1:12" x14ac:dyDescent="0.2">
      <c r="A8" s="30"/>
      <c r="B8" s="8" t="s">
        <v>44</v>
      </c>
      <c r="C8" s="10">
        <v>199000</v>
      </c>
      <c r="D8" s="11">
        <v>106000</v>
      </c>
      <c r="E8" s="11"/>
      <c r="F8" s="11"/>
      <c r="G8" s="11"/>
      <c r="H8" s="11"/>
      <c r="I8" s="30"/>
      <c r="J8" s="8" t="s">
        <v>35</v>
      </c>
      <c r="K8" s="8">
        <v>140000</v>
      </c>
      <c r="L8" s="9">
        <v>256000</v>
      </c>
    </row>
    <row r="9" spans="1:12" x14ac:dyDescent="0.2">
      <c r="A9" s="30"/>
      <c r="B9" s="8" t="s">
        <v>45</v>
      </c>
      <c r="C9" s="10">
        <v>229000</v>
      </c>
      <c r="D9" s="11">
        <f>112000</f>
        <v>112000</v>
      </c>
      <c r="E9" s="11">
        <v>220000</v>
      </c>
      <c r="F9" s="11"/>
      <c r="G9" s="11"/>
      <c r="H9" s="11"/>
      <c r="I9" s="30"/>
      <c r="J9" s="8" t="s">
        <v>36</v>
      </c>
      <c r="K9" s="8">
        <v>147000</v>
      </c>
      <c r="L9" s="9">
        <v>291000</v>
      </c>
    </row>
  </sheetData>
  <mergeCells count="2">
    <mergeCell ref="A2:A9"/>
    <mergeCell ref="I2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Lucas</cp:lastModifiedBy>
  <dcterms:created xsi:type="dcterms:W3CDTF">2024-07-31T03:18:39Z</dcterms:created>
  <dcterms:modified xsi:type="dcterms:W3CDTF">2026-03-03T02:47:22Z</dcterms:modified>
</cp:coreProperties>
</file>